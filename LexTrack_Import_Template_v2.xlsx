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brandex-cms\"/>
    </mc:Choice>
  </mc:AlternateContent>
  <xr:revisionPtr revIDLastSave="0" documentId="13_ncr:1_{3E98BD0E-F983-4BBB-9B45-616AA844E748}" xr6:coauthVersionLast="47" xr6:coauthVersionMax="47" xr10:uidLastSave="{00000000-0000-0000-0000-000000000000}"/>
  <bookViews>
    <workbookView xWindow="0" yWindow="0" windowWidth="16590" windowHeight="15600" activeTab="1" xr2:uid="{00000000-000D-0000-FFFF-FFFF00000000}"/>
  </bookViews>
  <sheets>
    <sheet name="A-001 — Ali Brothers" sheetId="1" r:id="rId1"/>
    <sheet name="ALL CLIENTS — Bulk Import" sheetId="2" r:id="rId2"/>
    <sheet name="CLIENT LIST (Reference)" sheetId="3" r:id="rId3"/>
    <sheet name="Field Guide" sheetId="4" r:id="rId4"/>
  </sheets>
  <calcPr calcId="191029"/>
</workbook>
</file>

<file path=xl/calcChain.xml><?xml version="1.0" encoding="utf-8"?>
<calcChain xmlns="http://schemas.openxmlformats.org/spreadsheetml/2006/main">
  <c r="J219" i="2" l="1"/>
  <c r="J218" i="2"/>
  <c r="J217" i="2"/>
  <c r="J216" i="2"/>
  <c r="J215" i="2"/>
  <c r="J214" i="2"/>
  <c r="J213" i="2"/>
  <c r="J212" i="2"/>
  <c r="J211" i="2"/>
  <c r="J210" i="2"/>
  <c r="J209" i="2"/>
  <c r="J72" i="2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71" i="2"/>
  <c r="J11" i="2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</calcChain>
</file>

<file path=xl/sharedStrings.xml><?xml version="1.0" encoding="utf-8"?>
<sst xmlns="http://schemas.openxmlformats.org/spreadsheetml/2006/main" count="1331" uniqueCount="530">
  <si>
    <t>Brandex® IP Law Firm — Ledger Balance Sheet</t>
  </si>
  <si>
    <t>Office No 112, 2nd Floor, Abdullah Plaza Near Churi Garden Gate Islamabad</t>
  </si>
  <si>
    <t>LEDGER NO:</t>
  </si>
  <si>
    <t>A-001</t>
  </si>
  <si>
    <t>CLIENT NAME:</t>
  </si>
  <si>
    <t>ALI &amp; BROTHERS PVT LTD</t>
  </si>
  <si>
    <t>NTN:</t>
  </si>
  <si>
    <t>1234567-8</t>
  </si>
  <si>
    <t>⚠  LexTrack Import: Skip Top Rows = 3  |  Column B = Ledger No  |  Column C = Client Name  |  Data starts Row 5</t>
  </si>
  <si>
    <t>DATE</t>
  </si>
  <si>
    <t>LEDGER NO</t>
  </si>
  <si>
    <t>CLIENT NAME</t>
  </si>
  <si>
    <t>FOLDER NO</t>
  </si>
  <si>
    <t>STAGE</t>
  </si>
  <si>
    <t>TM NO</t>
  </si>
  <si>
    <t>DETAILS</t>
  </si>
  <si>
    <t>DUE</t>
  </si>
  <si>
    <t>RECEIVED</t>
  </si>
  <si>
    <t>BALANCE</t>
  </si>
  <si>
    <t>23-FEB-22</t>
  </si>
  <si>
    <t>Ali &amp; Brothers Pvt Ltd</t>
  </si>
  <si>
    <t>A05-001</t>
  </si>
  <si>
    <t>S2</t>
  </si>
  <si>
    <t>509013</t>
  </si>
  <si>
    <t>CPEC [C34]</t>
  </si>
  <si>
    <t>A05-002</t>
  </si>
  <si>
    <t>582722</t>
  </si>
  <si>
    <t>INFEX</t>
  </si>
  <si>
    <t>S3</t>
  </si>
  <si>
    <t>CPEC</t>
  </si>
  <si>
    <t>EXTRA CPEC EARLY CERTIFICATE</t>
  </si>
  <si>
    <t>20-APR-2022</t>
  </si>
  <si>
    <t>PAYMENT RECEIVED AT M IDREES EASY PAISA</t>
  </si>
  <si>
    <t>INFEX + DEMAND NOTE FEE TM-50 10000+2000</t>
  </si>
  <si>
    <t>A05-003</t>
  </si>
  <si>
    <t>S1</t>
  </si>
  <si>
    <t>660708</t>
  </si>
  <si>
    <t>KLEUTER C28 UPTO PUBLICATION (50,000)</t>
  </si>
  <si>
    <t>A05-004</t>
  </si>
  <si>
    <t>661025</t>
  </si>
  <si>
    <t>KUBAKA C28 [COMPLETED]</t>
  </si>
  <si>
    <t>A05-005</t>
  </si>
  <si>
    <t>660707</t>
  </si>
  <si>
    <t>NINIBYE C25 [COMPLETED]</t>
  </si>
  <si>
    <t>15-APR-2022</t>
  </si>
  <si>
    <t>PAYMENT RECEIVED</t>
  </si>
  <si>
    <t>A05-006</t>
  </si>
  <si>
    <t>683504</t>
  </si>
  <si>
    <t>ATACHI C9 &amp; UPTO PUBLICATION</t>
  </si>
  <si>
    <t>11-FEB-2022</t>
  </si>
  <si>
    <t>01-APR-2023</t>
  </si>
  <si>
    <t>1984</t>
  </si>
  <si>
    <t>LexTrack — Bulk Multi-Client Import Sheet</t>
  </si>
  <si>
    <t>⚠  All clients in one sheet. Each row = one entry. LEDGER NO + CLIENT NAME columns required.  |  LexTrack: Skip Top Rows = 2</t>
  </si>
  <si>
    <t>A-002</t>
  </si>
  <si>
    <t>A-003</t>
  </si>
  <si>
    <t>A-004</t>
  </si>
  <si>
    <t>A-005</t>
  </si>
  <si>
    <t>Client Master List — Add your 70+ clients here for reference</t>
  </si>
  <si>
    <t>NTN / ID</t>
  </si>
  <si>
    <t>NOTES</t>
  </si>
  <si>
    <t>Trademark client</t>
  </si>
  <si>
    <t>Copyright</t>
  </si>
  <si>
    <t>Consultant</t>
  </si>
  <si>
    <t>A-008</t>
  </si>
  <si>
    <t>A-009</t>
  </si>
  <si>
    <t>A-010</t>
  </si>
  <si>
    <t>LexTrack Import — Field Reference Guide</t>
  </si>
  <si>
    <t>Column</t>
  </si>
  <si>
    <t>Format / Example</t>
  </si>
  <si>
    <t>Notes</t>
  </si>
  <si>
    <t>23-FEB-22 or 2024-01-15</t>
  </si>
  <si>
    <t>Any date format works — Excel dates also OK</t>
  </si>
  <si>
    <t>Must match your client ledger number (A-001 to A-070+)</t>
  </si>
  <si>
    <t>New client auto-created if not found in CMS</t>
  </si>
  <si>
    <t>Your internal file reference — optional</t>
  </si>
  <si>
    <t>Filing / S1 / S2</t>
  </si>
  <si>
    <t>Filing, Examination, Publication, Opposition, Registration, Renewal, Abandoned</t>
  </si>
  <si>
    <t>Government-assigned TM or Copyright number — optional</t>
  </si>
  <si>
    <t>CPEC [C34] Filing</t>
  </si>
  <si>
    <t>Description of work, remarks, hearing date</t>
  </si>
  <si>
    <t>50000</t>
  </si>
  <si>
    <t>Numbers only — no Rs or commas</t>
  </si>
  <si>
    <t>Amount received — 0 if payment pending</t>
  </si>
  <si>
    <t>0</t>
  </si>
  <si>
    <t>Optional — auto-calculated as Due minus Received</t>
  </si>
  <si>
    <t>IMPORT SETTINGS</t>
  </si>
  <si>
    <t>Single Client Sheet</t>
  </si>
  <si>
    <t>Skip Top Rows = 3  (rows 1-3 are headers)</t>
  </si>
  <si>
    <t>All Clients Sheet</t>
  </si>
  <si>
    <t>Skip Top Rows = 2  (rows 1-2 are headers)</t>
  </si>
  <si>
    <t>CLIENT METHOD</t>
  </si>
  <si>
    <t>Map LEDGER NO and CLIENT NAME columns in import</t>
  </si>
  <si>
    <t>Dropdown</t>
  </si>
  <si>
    <t>Select client from dropdown if no column — imports all rows to that client</t>
  </si>
  <si>
    <t>A02-001</t>
  </si>
  <si>
    <t>HADI S2 OBJECTION REMOVAL (DONE BASE) 15000 IN CASE OF REFISAL 13000 REFUNDABLE</t>
  </si>
  <si>
    <t>PKR 15,000</t>
  </si>
  <si>
    <t>PKR 0</t>
  </si>
  <si>
    <t>A02-002</t>
  </si>
  <si>
    <t>3D LEADS C3 S2</t>
  </si>
  <si>
    <t>PKR 10,000</t>
  </si>
  <si>
    <t>A02-003</t>
  </si>
  <si>
    <t>MODWARE KINGS C6</t>
  </si>
  <si>
    <t>PKR 8,000</t>
  </si>
  <si>
    <t>A02-004</t>
  </si>
  <si>
    <t>MAK MODWARE KINGS ENTERPRICES C6 S2</t>
  </si>
  <si>
    <t>PKR 9,600</t>
  </si>
  <si>
    <t>A02-010</t>
  </si>
  <si>
    <t>JA GROUP S2 ACCEPTANCE TM-16,TM-48 + REPLY</t>
  </si>
  <si>
    <t>A02-005</t>
  </si>
  <si>
    <t>ROOP SHRINGAR C3 S2 (IN CASE OF FAILURE 8000 REFUNDABLE)</t>
  </si>
  <si>
    <t>PKR 10,600</t>
  </si>
  <si>
    <t>A02-006</t>
  </si>
  <si>
    <t>NOROZ C25 S1</t>
  </si>
  <si>
    <t>PKR 5,000</t>
  </si>
  <si>
    <t>A02-007</t>
  </si>
  <si>
    <t>FINE BEST C32</t>
  </si>
  <si>
    <t>A02-008</t>
  </si>
  <si>
    <t>FINE BEST C30</t>
  </si>
  <si>
    <t>A02-009</t>
  </si>
  <si>
    <t>THE SMART LYCEUM C41 S1</t>
  </si>
  <si>
    <t>A02-011</t>
  </si>
  <si>
    <t>AQUA SAMRT PURE C32 S1</t>
  </si>
  <si>
    <t>MR FURQAN BRAND EXPERTS</t>
  </si>
  <si>
    <t>A-006A</t>
  </si>
  <si>
    <t>A-006B</t>
  </si>
  <si>
    <t>A-007A</t>
  </si>
  <si>
    <t>A-007B</t>
  </si>
  <si>
    <t>A-011</t>
  </si>
  <si>
    <t>A-012</t>
  </si>
  <si>
    <t>A-013</t>
  </si>
  <si>
    <t>A-014</t>
  </si>
  <si>
    <t>A-015</t>
  </si>
  <si>
    <t>A-016</t>
  </si>
  <si>
    <t>A-017</t>
  </si>
  <si>
    <t>A-018</t>
  </si>
  <si>
    <t>A-019</t>
  </si>
  <si>
    <t>A-020</t>
  </si>
  <si>
    <t>A-021</t>
  </si>
  <si>
    <t>A-022</t>
  </si>
  <si>
    <t>A-023</t>
  </si>
  <si>
    <t>A-024</t>
  </si>
  <si>
    <t>A-025</t>
  </si>
  <si>
    <t>A-026</t>
  </si>
  <si>
    <t>A-027</t>
  </si>
  <si>
    <t>A-028A</t>
  </si>
  <si>
    <t>A-028B</t>
  </si>
  <si>
    <t>A-030</t>
  </si>
  <si>
    <t>A-031</t>
  </si>
  <si>
    <t>A-032</t>
  </si>
  <si>
    <t>A-033</t>
  </si>
  <si>
    <t>A-034A</t>
  </si>
  <si>
    <t>A-034B</t>
  </si>
  <si>
    <t>A-035</t>
  </si>
  <si>
    <t>A-036</t>
  </si>
  <si>
    <t>A-037</t>
  </si>
  <si>
    <t>A-038</t>
  </si>
  <si>
    <t>A-039</t>
  </si>
  <si>
    <t>A-040</t>
  </si>
  <si>
    <t>A-041</t>
  </si>
  <si>
    <t>A-042</t>
  </si>
  <si>
    <t>A-043</t>
  </si>
  <si>
    <t>A-044A</t>
  </si>
  <si>
    <t>A-045</t>
  </si>
  <si>
    <t>A-046</t>
  </si>
  <si>
    <t>A-047</t>
  </si>
  <si>
    <t>A-048</t>
  </si>
  <si>
    <t>A-049</t>
  </si>
  <si>
    <t>A-050</t>
  </si>
  <si>
    <t>A-051</t>
  </si>
  <si>
    <t>A-052</t>
  </si>
  <si>
    <t>A-053</t>
  </si>
  <si>
    <t>A-054</t>
  </si>
  <si>
    <t>A-055</t>
  </si>
  <si>
    <t>A-056</t>
  </si>
  <si>
    <t>A-057</t>
  </si>
  <si>
    <t>A-058</t>
  </si>
  <si>
    <t>A-059</t>
  </si>
  <si>
    <t>A-060</t>
  </si>
  <si>
    <t>A-061</t>
  </si>
  <si>
    <t>A-062</t>
  </si>
  <si>
    <t>A-063</t>
  </si>
  <si>
    <t>NOOR BAAF</t>
  </si>
  <si>
    <t>MUMTAZ ALI GHUARI MULTAN</t>
  </si>
  <si>
    <t>HMMAS BADAR PEW</t>
  </si>
  <si>
    <t>NAMEEM LAW ASSOCIATES</t>
  </si>
  <si>
    <t>UMAIR</t>
  </si>
  <si>
    <t>IRFAN</t>
  </si>
  <si>
    <t>IMRAN</t>
  </si>
  <si>
    <t>RAJA WAQAR RWP CA</t>
  </si>
  <si>
    <t>M IMTIAZ MULTAN CO FAIZ RASOOL X559</t>
  </si>
  <si>
    <t>MANSOR KHI AIMA XYC</t>
  </si>
  <si>
    <t>ANDAN ADV FSD</t>
  </si>
  <si>
    <t>ABID BLUE AREA ISB</t>
  </si>
  <si>
    <t>ADVOCATE SHAFIQUE ISLAMABD</t>
  </si>
  <si>
    <t>ASIM SALEEM LAHORE A SUFI COUNSULTANT</t>
  </si>
  <si>
    <t>M DANISH CO A022 EHTISHAM</t>
  </si>
  <si>
    <t>SHEER M DAR FSD TAX</t>
  </si>
  <si>
    <t>SHAFIQ MS TAX CONSULTANT</t>
  </si>
  <si>
    <t>KASHIF PWD RWP ZIVA</t>
  </si>
  <si>
    <t>ASIM QURESHI RWP</t>
  </si>
  <si>
    <t>MR SIBTAIN APRICART KARACHI</t>
  </si>
  <si>
    <t>FAIZ RASOOL JAMPUR</t>
  </si>
  <si>
    <t>EHTSAM ALI CHEEMA</t>
  </si>
  <si>
    <t>WASEEM HYD</t>
  </si>
  <si>
    <t>WAJAHAT XYC PRIDE</t>
  </si>
  <si>
    <t>IBRAHIM XYC KARACHI</t>
  </si>
  <si>
    <t>DESIRED TECHNOLOGIES</t>
  </si>
  <si>
    <t>FAHIM ADV OKARA</t>
  </si>
  <si>
    <t>AZIZ UR REHMAN RWP</t>
  </si>
  <si>
    <t>ZEESHAN ADV FAISALABAD</t>
  </si>
  <si>
    <t>AFTAB ADV GUJRANWALA</t>
  </si>
  <si>
    <t>MMH MM HASSAN</t>
  </si>
  <si>
    <t>AKK AWAIS KK CONSULTANT</t>
  </si>
  <si>
    <t>SHOAIB ADV ISB</t>
  </si>
  <si>
    <t>KHURRAM SHAHZAD ADV</t>
  </si>
  <si>
    <t>MEHWISH BUISNESS BABA</t>
  </si>
  <si>
    <t>RAJA ARSHAD SAHIWAL SIP</t>
  </si>
  <si>
    <t>DR ALI KHI</t>
  </si>
  <si>
    <t>AMJAD PESHAWAR UME COSMATICS</t>
  </si>
  <si>
    <t>SHARJEEL AYUB SHARUKH KHI</t>
  </si>
  <si>
    <t>M TARIQ AFTAB RWP</t>
  </si>
  <si>
    <t>KKC KAMRAN ISLAMABAD</t>
  </si>
  <si>
    <t>WAQAS CONSULTANT ISB</t>
  </si>
  <si>
    <t>ISO MURTAZA</t>
  </si>
  <si>
    <t>MR SARMAD PSW</t>
  </si>
  <si>
    <t>SHAZAD KHI</t>
  </si>
  <si>
    <t>JUNAID PESHAWAR CO MR SARMAD X073</t>
  </si>
  <si>
    <t>ALI WARAICH ADVOCATE SAHIWAL</t>
  </si>
  <si>
    <t>ITNA CONSULTANT RWP NABEEL</t>
  </si>
  <si>
    <t>MIAN USMAN BURYWALA</t>
  </si>
  <si>
    <t>MR AURANGZAIB PRINTER RWP</t>
  </si>
  <si>
    <t>TARIQ ADV HYDRABAD</t>
  </si>
  <si>
    <t>IRFAN CHEENA CO A022 IHTASHAM</t>
  </si>
  <si>
    <t>KAMRAN SADIQ</t>
  </si>
  <si>
    <t>MALIK ZAID</t>
  </si>
  <si>
    <t>AIMA MANAGEMENT</t>
  </si>
  <si>
    <t>IRFAN CHEEMA</t>
  </si>
  <si>
    <t>M ASIF FAROOQ</t>
  </si>
  <si>
    <t>WAQAS ILYAAS</t>
  </si>
  <si>
    <t>SHAHZAD KARACHI</t>
  </si>
  <si>
    <t>AQUA SAMRT PURE  C32 S1</t>
  </si>
  <si>
    <t xml:space="preserve">MUMTAZ ALI GHUARI </t>
  </si>
  <si>
    <t>A-003-051</t>
  </si>
  <si>
    <t>A-003-082</t>
  </si>
  <si>
    <t>A-003-MIX</t>
  </si>
  <si>
    <t>BEARD UP COSMATICS</t>
  </si>
  <si>
    <t>FARM FRESH C32 [S-2 + TM-16]</t>
  </si>
  <si>
    <t>ANDLEEB</t>
  </si>
  <si>
    <t>DEEP SKIN CARE</t>
  </si>
  <si>
    <t>DEEP TONE</t>
  </si>
  <si>
    <t>B.Q</t>
  </si>
  <si>
    <t>MM SPECIAL RUSK</t>
  </si>
  <si>
    <t>GLUTA GOLD</t>
  </si>
  <si>
    <t>AKEMI</t>
  </si>
  <si>
    <t>LUMINUS AURA</t>
  </si>
  <si>
    <t>SAFNA GOLD</t>
  </si>
  <si>
    <t>4B C32 (7800)</t>
  </si>
  <si>
    <t>BROAST BIRYANI C43 (7800)</t>
  </si>
  <si>
    <t>DOT CLINICS C44</t>
  </si>
  <si>
    <t>REON C7 (S2)</t>
  </si>
  <si>
    <t>BRAND EXPERTS</t>
  </si>
  <si>
    <t>MR. HEALTH (S1)</t>
  </si>
  <si>
    <t>LEA PHENOM C18 (S2 + TM-16) [5000 REFUNDABLE IF REFUSED]</t>
  </si>
  <si>
    <t>GULABBRI [S2] [6500 REFUNDABLE IF REFUSED]</t>
  </si>
  <si>
    <t>7 SEARCH</t>
  </si>
  <si>
    <t>MARWAZ COMMISSION ADJUSTMENT</t>
  </si>
  <si>
    <t>REON C7 (STOPPED &amp; REFUNDED 8000) [stoped]</t>
  </si>
  <si>
    <t>EDULIS FOODS C43 URGENT</t>
  </si>
  <si>
    <t>3D LEADS C3</t>
  </si>
  <si>
    <t>DUE PROFESSIONAL C3 S2
ACCEPTANCE FEE 9000 [IN CASE OF FAILIER REFUNDABLE 7000]</t>
  </si>
  <si>
    <t>MODWARE KINGS C6 [TM-11 + TM-50]</t>
  </si>
  <si>
    <t>NOROZ C25</t>
  </si>
  <si>
    <t>FRESH FOODS NIMKO &amp; DATES C29</t>
  </si>
  <si>
    <t>A-002-001</t>
  </si>
  <si>
    <t>HAADI</t>
  </si>
  <si>
    <t>A-002-021</t>
  </si>
  <si>
    <t>THE FLOWER PALACE C35</t>
  </si>
  <si>
    <t>A-002-022</t>
  </si>
  <si>
    <t>THE FLOWER SHOP C35</t>
  </si>
  <si>
    <t>A-002-023</t>
  </si>
  <si>
    <t>THE FLOWER HUB C35</t>
  </si>
  <si>
    <t>A-002-024</t>
  </si>
  <si>
    <t>WASH &amp; CARE C37</t>
  </si>
  <si>
    <t>A-002-013</t>
  </si>
  <si>
    <t>A-002-025</t>
  </si>
  <si>
    <t>MAIN PLASTIC C20</t>
  </si>
  <si>
    <t>A-002-026</t>
  </si>
  <si>
    <t>PractiScale C35</t>
  </si>
  <si>
    <t>A-002-027</t>
  </si>
  <si>
    <t>BRANO GRAPH C35</t>
  </si>
  <si>
    <t>A-002-028</t>
  </si>
  <si>
    <t>PANTHER LAW ASSOICATES C45</t>
  </si>
  <si>
    <t>A-002-004</t>
  </si>
  <si>
    <t>MAK MODWARE KINGS ENTERPRICES C6 [DEMAD NOTE FILING]</t>
  </si>
  <si>
    <t>A-002-029</t>
  </si>
  <si>
    <t>BRUZOO C43</t>
  </si>
  <si>
    <t>A-002-030</t>
  </si>
  <si>
    <t>CARWAYI C35</t>
  </si>
  <si>
    <t>Ammi jan c29</t>
  </si>
  <si>
    <t>ZEEMAX HOME APPLIANCES C11</t>
  </si>
  <si>
    <t>ZAREEN TECH SERVIOCES C42</t>
  </si>
  <si>
    <t xml:space="preserve">PAYMENT RECEIVED ep 009 </t>
  </si>
  <si>
    <t>a-002-034</t>
  </si>
  <si>
    <t>S1 &amp; S2</t>
  </si>
  <si>
    <t>nmp new mian plastic paints [showcuse issueance  + S2]</t>
  </si>
  <si>
    <t>A-002-002</t>
  </si>
  <si>
    <t>A-002-003</t>
  </si>
  <si>
    <t>A-002-010</t>
  </si>
  <si>
    <t>A-002-005</t>
  </si>
  <si>
    <t>A-002-006</t>
  </si>
  <si>
    <t>A-002-007</t>
  </si>
  <si>
    <t>A-002-008</t>
  </si>
  <si>
    <t>A-002-009</t>
  </si>
  <si>
    <t>A-002-011</t>
  </si>
  <si>
    <t>A-002-012</t>
  </si>
  <si>
    <t>A-002-014</t>
  </si>
  <si>
    <t>A-002-015</t>
  </si>
  <si>
    <t>A-002-017</t>
  </si>
  <si>
    <t>A-002-018</t>
  </si>
  <si>
    <t>A-002-020</t>
  </si>
  <si>
    <t>A-002-031</t>
  </si>
  <si>
    <t xml:space="preserve">A-002-032 </t>
  </si>
  <si>
    <t>A-002-033</t>
  </si>
  <si>
    <t>ENJOY 30 S1</t>
  </si>
  <si>
    <t>ZEETOON 30 S1</t>
  </si>
  <si>
    <t>KHAN C3- S1</t>
  </si>
  <si>
    <t>SUPER RIVO S1</t>
  </si>
  <si>
    <t>SUPER RIVO S2</t>
  </si>
  <si>
    <t>TARGO C4 S1</t>
  </si>
  <si>
    <t>TARGO C4 S2</t>
  </si>
  <si>
    <t>TARGO C4 S3</t>
  </si>
  <si>
    <t>OSTLE C32 S1</t>
  </si>
  <si>
    <t>OSTLE C32 S2 OPP</t>
  </si>
  <si>
    <t>DOLPHIN SUPER S1</t>
  </si>
  <si>
    <t>DOLPHIN SUPER S2</t>
  </si>
  <si>
    <t>GORILA S1</t>
  </si>
  <si>
    <t>AB E SHEREEN S1</t>
  </si>
  <si>
    <t>RED STAR S1</t>
  </si>
  <si>
    <t>SUPER UNIQUE S1</t>
  </si>
  <si>
    <t>LEADER TEA COMPANY S1</t>
  </si>
  <si>
    <t>LEADER TEA COMPANY S2</t>
  </si>
  <si>
    <t>DEMAND NOTE ISSUED NIL S3</t>
  </si>
  <si>
    <t>BIO LIVE S1</t>
  </si>
  <si>
    <t>ZIN OIL C4 S1</t>
  </si>
  <si>
    <t>ZIN OIL C4 S2</t>
  </si>
  <si>
    <t>AJWA C30 S1</t>
  </si>
  <si>
    <t>RECEIVED IN MULTIPLE TRANSACTION BEFORE 1-10-2021, 5000 +6000+20K+15000+4000 RECTIFICATION</t>
  </si>
  <si>
    <t>OFFICAIL SEARCH</t>
  </si>
  <si>
    <t>HAIR PRO LANDON C5 S1</t>
  </si>
  <si>
    <t>ICAN LANDON C3 S1</t>
  </si>
  <si>
    <t>ICAN LANDON C5 S1</t>
  </si>
  <si>
    <t>MANZIL S1</t>
  </si>
  <si>
    <t>BEHTREEN FOOD S1 OLD</t>
  </si>
  <si>
    <t>BEHTREEN FOOD S2 OLD</t>
  </si>
  <si>
    <t>KHEWARA S1</t>
  </si>
  <si>
    <t>LEENO S1</t>
  </si>
  <si>
    <t>ZEEVA S1</t>
  </si>
  <si>
    <t>HEMRESIN S1</t>
  </si>
  <si>
    <t>22-01-2021 10+10+30</t>
  </si>
  <si>
    <t>APKI NEWS S1</t>
  </si>
  <si>
    <t>MAI DUBAI S1</t>
  </si>
  <si>
    <t>SIDDIQUI TIKKHA S1</t>
  </si>
  <si>
    <t>BEHTREEN TEA LABLE S1</t>
  </si>
  <si>
    <t>ASAR S1</t>
  </si>
  <si>
    <t>SUPREME BOUND S1</t>
  </si>
  <si>
    <t>PLC MOTOR OIL S1</t>
  </si>
  <si>
    <t>JAZZ CASH TID: 017621537982</t>
  </si>
  <si>
    <t>TM-16</t>
  </si>
  <si>
    <t>PASSO S1</t>
  </si>
  <si>
    <t>SKIN SENCE S1</t>
  </si>
  <si>
    <t>P4PATATOS S1</t>
  </si>
  <si>
    <t>RABANI HAIR OIL S1</t>
  </si>
  <si>
    <t>JAZZ CASH</t>
  </si>
  <si>
    <t>SALAH UD DIN JAZZ CASH</t>
  </si>
  <si>
    <t>AL KAIF C29 S2</t>
  </si>
  <si>
    <t>AL KAIF C43 S2</t>
  </si>
  <si>
    <t>JAZZ CASH .</t>
  </si>
  <si>
    <t>02 TM6 FEE ADJUSTED 6000+6000</t>
  </si>
  <si>
    <t>DUBAI HAIR STYLE C44 S2</t>
  </si>
  <si>
    <t>PIZZA TOPICS S2</t>
  </si>
  <si>
    <t>KEBO S2</t>
  </si>
  <si>
    <t>CPEC S2</t>
  </si>
  <si>
    <t>BEHTREEN C30 S2 ACCEPTANCE</t>
  </si>
  <si>
    <t>ICAN LANDON C3 S2</t>
  </si>
  <si>
    <t>SIDDIQUI TIKKHA URDU C43 S2</t>
  </si>
  <si>
    <t>BEHTREEN C30 RESTORETION</t>
  </si>
  <si>
    <t>ALKAIF C43 S3</t>
  </si>
  <si>
    <t>DUBAI HAIR STYLE C44 S3</t>
  </si>
  <si>
    <t>PIZZA TOPICS C29 S3</t>
  </si>
  <si>
    <t>CPEC C41 S3</t>
  </si>
  <si>
    <t>ALKAIF C29 S3</t>
  </si>
  <si>
    <t>YUMTY C 30</t>
  </si>
  <si>
    <t>PLC MOTOR OIL C4 S2 ABANDOND KARACHI (8000)ABANDOND</t>
  </si>
  <si>
    <t>BETTER VIEW C9 S2 (ACCEPTANCE DONE)</t>
  </si>
  <si>
    <t>LEENO S2</t>
  </si>
  <si>
    <t>VIZ (TM-12 AND TM-50)</t>
  </si>
  <si>
    <t>2 TM-48</t>
  </si>
  <si>
    <t>TM-48 SS TRADERS</t>
  </si>
  <si>
    <t>TM-48</t>
  </si>
  <si>
    <t>SIDDIQUI TIKKHA URDU C43 S3 + TM-56</t>
  </si>
  <si>
    <t>BEAU-TECH C3 S2</t>
  </si>
  <si>
    <t>BEAU-TECH C3 S3</t>
  </si>
  <si>
    <t>TCS CHARGES</t>
  </si>
  <si>
    <t>TM-48 MUHAMMAD KABIR YOUNAS</t>
  </si>
  <si>
    <t>2 TM-48 (TARIQ BANNU BEEF PULAO &amp; BEARD UP COSMATICS)</t>
  </si>
  <si>
    <t>9 REPLYIES (700 X 9)</t>
  </si>
  <si>
    <t>FUNCERT C5 S2 ACCEPTED</t>
  </si>
  <si>
    <t>GLOCERT C5 S2 ACCEPTED</t>
  </si>
  <si>
    <t>HYACERT C5 S2 ACCEPTED</t>
  </si>
  <si>
    <t>MI-PELO C5 S2 ACCEPTED</t>
  </si>
  <si>
    <t>CP</t>
  </si>
  <si>
    <t>FANTASTIC COPYRIGHT</t>
  </si>
  <si>
    <t>WASAIB SANWARO C36 [TM-16 &amp; REPLY DONE]</t>
  </si>
  <si>
    <t>ATLANTIC C7 [S2]</t>
  </si>
  <si>
    <t>PLC C7 [S2]</t>
  </si>
  <si>
    <t>BHAI G C7 [S2]</t>
  </si>
  <si>
    <t>BHAI G C30 [S2]</t>
  </si>
  <si>
    <t>HI SHINE C3 [S2]</t>
  </si>
  <si>
    <t>RUZ C3 [S2]</t>
  </si>
  <si>
    <t>MULTAN RANG C38 [S2]</t>
  </si>
  <si>
    <t>ACTICERT C5 [S2]</t>
  </si>
  <si>
    <t>CERTINOL C5 [S2]</t>
  </si>
  <si>
    <t>FERVED C5 [S2]</t>
  </si>
  <si>
    <t>CHARMER C5 [S2]</t>
  </si>
  <si>
    <t>SKINUF C3</t>
  </si>
  <si>
    <t>PRIME DECOR C30</t>
  </si>
  <si>
    <t>17 COSMETICSTORE C35</t>
  </si>
  <si>
    <t>17CUTZ C44</t>
  </si>
  <si>
    <t>IDEA CATCHER C37 S2 7800</t>
  </si>
  <si>
    <t>MILAC C5 7800</t>
  </si>
  <si>
    <t>FAVOURITE C32 7800</t>
  </si>
  <si>
    <t>FANTASTIC  C32 7800</t>
  </si>
  <si>
    <t>REAL FOODS C32 7800</t>
  </si>
  <si>
    <t>NAS 7800 (STOPPED)</t>
  </si>
  <si>
    <t>ASLI GHORA CHAKKAR C34 7800</t>
  </si>
  <si>
    <t>KAMAL KHAN C34</t>
  </si>
  <si>
    <t>BLIZ C3 (7800)</t>
  </si>
  <si>
    <t>NATURAL BEAUTY BY DR IBRAR MIRZA C3 (7800)</t>
  </si>
  <si>
    <t>A-003-052</t>
  </si>
  <si>
    <t>A-003-053</t>
  </si>
  <si>
    <t>A-003-054</t>
  </si>
  <si>
    <t>A-003-055</t>
  </si>
  <si>
    <t>A-003-056</t>
  </si>
  <si>
    <t>A-003-065</t>
  </si>
  <si>
    <t>A-003-066</t>
  </si>
  <si>
    <t>A-003-067</t>
  </si>
  <si>
    <t>A-003-068</t>
  </si>
  <si>
    <t>A-003-069</t>
  </si>
  <si>
    <t>A-003-064</t>
  </si>
  <si>
    <t>A-003-070</t>
  </si>
  <si>
    <t>A-003-058</t>
  </si>
  <si>
    <t>A-003-059</t>
  </si>
  <si>
    <t>A-003-061</t>
  </si>
  <si>
    <t>A-003-060</t>
  </si>
  <si>
    <t>A-003-074</t>
  </si>
  <si>
    <t>A-003-078</t>
  </si>
  <si>
    <t>A-003-079</t>
  </si>
  <si>
    <t>A-003-080</t>
  </si>
  <si>
    <t>A-003-088</t>
  </si>
  <si>
    <t>A-003-089</t>
  </si>
  <si>
    <t>A-003-090</t>
  </si>
  <si>
    <t>A-003-062</t>
  </si>
  <si>
    <t>A-003-063</t>
  </si>
  <si>
    <t>A-003-071</t>
  </si>
  <si>
    <t>A-003-072</t>
  </si>
  <si>
    <t>A-003-077</t>
  </si>
  <si>
    <t>A-003-086</t>
  </si>
  <si>
    <t>A-003-087</t>
  </si>
  <si>
    <t>A-003-02A</t>
  </si>
  <si>
    <t>A-003-03A</t>
  </si>
  <si>
    <t>A-003-04A</t>
  </si>
  <si>
    <t>A-003-04B</t>
  </si>
  <si>
    <t>A-003-05A</t>
  </si>
  <si>
    <t>A-003-05B</t>
  </si>
  <si>
    <t>A-003-05C</t>
  </si>
  <si>
    <t>A-003-06A</t>
  </si>
  <si>
    <t>A-003-06B</t>
  </si>
  <si>
    <t>A-003-07A</t>
  </si>
  <si>
    <t>A-003-07B</t>
  </si>
  <si>
    <t>A-003-08A</t>
  </si>
  <si>
    <t>A-003-09A</t>
  </si>
  <si>
    <t>A-003-09B</t>
  </si>
  <si>
    <t>A-003-10A</t>
  </si>
  <si>
    <t>A-003-11A</t>
  </si>
  <si>
    <t>A-003-12A</t>
  </si>
  <si>
    <t>A-003-12B</t>
  </si>
  <si>
    <t>A-003-12C</t>
  </si>
  <si>
    <t>A-003-13A</t>
  </si>
  <si>
    <t>A-003-14A</t>
  </si>
  <si>
    <t>A-003-14B</t>
  </si>
  <si>
    <t>A-003-14C</t>
  </si>
  <si>
    <t>A-003-15A</t>
  </si>
  <si>
    <t>A-003-16A</t>
  </si>
  <si>
    <t>A-003-17A</t>
  </si>
  <si>
    <t>A-003-18A</t>
  </si>
  <si>
    <t>A-003-19A</t>
  </si>
  <si>
    <t>A-003-20A</t>
  </si>
  <si>
    <t>A-003-20B</t>
  </si>
  <si>
    <t>A-003-21A</t>
  </si>
  <si>
    <t>A-003-22A</t>
  </si>
  <si>
    <t>A-003-23A</t>
  </si>
  <si>
    <t>A-003-24A</t>
  </si>
  <si>
    <t>A-003-25A</t>
  </si>
  <si>
    <t>A-003-26A</t>
  </si>
  <si>
    <t>A-003-27A</t>
  </si>
  <si>
    <t>A-003-28A</t>
  </si>
  <si>
    <t>A-003-29A</t>
  </si>
  <si>
    <t>A-003-30A</t>
  </si>
  <si>
    <t>A-003-31A</t>
  </si>
  <si>
    <t>A-003-32A</t>
  </si>
  <si>
    <t>A-003-33A</t>
  </si>
  <si>
    <t>A-003-34A</t>
  </si>
  <si>
    <t>A-003-35A</t>
  </si>
  <si>
    <t>A-003-36B</t>
  </si>
  <si>
    <t>A-003-37B</t>
  </si>
  <si>
    <t>A-003-42</t>
  </si>
  <si>
    <t>A-003-41</t>
  </si>
  <si>
    <t>A-003-38</t>
  </si>
  <si>
    <t>A-003-39</t>
  </si>
  <si>
    <t>A-003-44</t>
  </si>
  <si>
    <t>A-003-31B</t>
  </si>
  <si>
    <t>A-003-45</t>
  </si>
  <si>
    <t>A-003-22b</t>
  </si>
  <si>
    <t>A-003-46</t>
  </si>
  <si>
    <t>A-003-27</t>
  </si>
  <si>
    <t>A-003-47</t>
  </si>
  <si>
    <t>A-003-040</t>
  </si>
  <si>
    <t>A-003-004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</si>
</sst>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[$PKR ]#,##0"/>
    <numFmt numFmtId="166" formatCode="dd&quot;-&quot;mmm&quot;-&quot;yy"/>
    <numFmt numFmtId="167" formatCode="d\-mmm\-yyyy"/>
  </numFmts>
  <fonts count="18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i/>
      <sz val="9"/>
      <color rgb="FFFFFFFF"/>
      <name val="Calibri"/>
    </font>
    <font>
      <b/>
      <sz val="10"/>
      <color rgb="FFFFFFFF"/>
      <name val="Calibri"/>
    </font>
    <font>
      <b/>
      <sz val="12"/>
      <color rgb="FFFF8C00"/>
      <name val="Calibri"/>
    </font>
    <font>
      <b/>
      <sz val="12"/>
      <color rgb="FF5B2D8E"/>
      <name val="Calibri"/>
    </font>
    <font>
      <b/>
      <sz val="9"/>
      <color rgb="FFFFFFFF"/>
      <name val="Calibri"/>
    </font>
    <font>
      <sz val="10"/>
      <name val="Calibri"/>
    </font>
    <font>
      <b/>
      <sz val="9"/>
      <color rgb="FF7B3F00"/>
      <name val="Calibri"/>
    </font>
    <font>
      <sz val="11"/>
      <color rgb="FFE74C3C"/>
      <name val="Calibri"/>
    </font>
    <font>
      <sz val="11"/>
      <color rgb="FF27AE60"/>
      <name val="Calibri"/>
    </font>
    <font>
      <b/>
      <sz val="11"/>
      <color rgb="FF27AE60"/>
      <name val="Calibri"/>
    </font>
    <font>
      <b/>
      <sz val="11"/>
      <color rgb="FFE74C3C"/>
      <name val="Calibri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1"/>
      <color rgb="FF00A389"/>
      <name val="Calibri"/>
    </font>
    <font>
      <sz val="12"/>
      <color rgb="FF000000"/>
      <name val="Bebas Neue"/>
    </font>
    <font>
      <sz val="12"/>
      <color rgb="FFFF0000"/>
      <name val="Bebas Neue"/>
    </font>
  </fonts>
  <fills count="13">
    <fill>
      <patternFill patternType="none"/>
    </fill>
    <fill>
      <patternFill patternType="gray125"/>
    </fill>
    <fill>
      <patternFill patternType="solid">
        <fgColor rgb="FFFF8C00"/>
      </patternFill>
    </fill>
    <fill>
      <patternFill patternType="solid">
        <fgColor rgb="FF333333"/>
      </patternFill>
    </fill>
    <fill>
      <patternFill patternType="solid">
        <fgColor rgb="FF5B2D8E"/>
      </patternFill>
    </fill>
    <fill>
      <patternFill patternType="solid">
        <fgColor rgb="FFF0E6FF"/>
      </patternFill>
    </fill>
    <fill>
      <patternFill patternType="solid">
        <fgColor rgb="FFFFF3CD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00A389"/>
      </patternFill>
    </fill>
    <fill>
      <patternFill patternType="solid">
        <fgColor rgb="FFEBF5FB"/>
      </patternFill>
    </fill>
    <fill>
      <patternFill patternType="solid">
        <fgColor rgb="FFE8F8F5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hair">
        <color rgb="FF6B21A8"/>
      </left>
      <right style="hair">
        <color rgb="FF6B21A8"/>
      </right>
      <top style="hair">
        <color rgb="FF6B21A8"/>
      </top>
      <bottom style="hair">
        <color rgb="FF6B21A8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4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center" vertical="center"/>
    </xf>
    <xf numFmtId="0" fontId="6" fillId="4" borderId="0" xfId="0" applyFont="1" applyFill="1"/>
    <xf numFmtId="0" fontId="7" fillId="5" borderId="0" xfId="0" applyFont="1" applyFill="1"/>
    <xf numFmtId="0" fontId="3" fillId="4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vertical="center" wrapText="1"/>
    </xf>
    <xf numFmtId="0" fontId="9" fillId="7" borderId="1" xfId="0" applyFont="1" applyFill="1" applyBorder="1" applyAlignment="1">
      <alignment vertical="center"/>
    </xf>
    <xf numFmtId="0" fontId="10" fillId="7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0" fillId="8" borderId="1" xfId="0" applyFill="1" applyBorder="1" applyAlignment="1">
      <alignment vertical="center" wrapText="1"/>
    </xf>
    <xf numFmtId="0" fontId="9" fillId="8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2" fillId="8" borderId="1" xfId="0" applyFont="1" applyFill="1" applyBorder="1" applyAlignment="1">
      <alignment vertical="center"/>
    </xf>
    <xf numFmtId="0" fontId="12" fillId="7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vertical="center"/>
    </xf>
    <xf numFmtId="0" fontId="0" fillId="10" borderId="1" xfId="0" applyFill="1" applyBorder="1" applyAlignment="1">
      <alignment vertical="center" wrapText="1"/>
    </xf>
    <xf numFmtId="0" fontId="9" fillId="10" borderId="1" xfId="0" applyFont="1" applyFill="1" applyBorder="1" applyAlignment="1">
      <alignment vertical="center"/>
    </xf>
    <xf numFmtId="0" fontId="10" fillId="10" borderId="1" xfId="0" applyFont="1" applyFill="1" applyBorder="1" applyAlignment="1">
      <alignment vertical="center"/>
    </xf>
    <xf numFmtId="0" fontId="11" fillId="10" borderId="1" xfId="0" applyFont="1" applyFill="1" applyBorder="1" applyAlignment="1">
      <alignment vertical="center"/>
    </xf>
    <xf numFmtId="0" fontId="14" fillId="3" borderId="1" xfId="0" applyFont="1" applyFill="1" applyBorder="1" applyAlignment="1">
      <alignment horizontal="center"/>
    </xf>
    <xf numFmtId="0" fontId="0" fillId="8" borderId="1" xfId="0" applyFill="1" applyBorder="1"/>
    <xf numFmtId="0" fontId="0" fillId="7" borderId="1" xfId="0" applyFill="1" applyBorder="1"/>
    <xf numFmtId="0" fontId="14" fillId="4" borderId="1" xfId="0" applyFont="1" applyFill="1" applyBorder="1" applyAlignment="1">
      <alignment vertical="center" wrapText="1"/>
    </xf>
    <xf numFmtId="0" fontId="15" fillId="11" borderId="1" xfId="0" applyFont="1" applyFill="1" applyBorder="1" applyAlignment="1">
      <alignment vertical="center" wrapText="1"/>
    </xf>
    <xf numFmtId="15" fontId="0" fillId="0" borderId="0" xfId="0" applyNumberFormat="1"/>
    <xf numFmtId="15" fontId="0" fillId="7" borderId="1" xfId="0" applyNumberFormat="1" applyFill="1" applyBorder="1" applyAlignment="1">
      <alignment vertical="center"/>
    </xf>
    <xf numFmtId="15" fontId="0" fillId="10" borderId="1" xfId="0" applyNumberForma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8" fillId="6" borderId="0" xfId="0" applyFont="1" applyFill="1" applyAlignment="1">
      <alignment horizontal="left" vertical="center" indent="1"/>
    </xf>
    <xf numFmtId="0" fontId="5" fillId="5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/>
    </xf>
    <xf numFmtId="164" fontId="16" fillId="12" borderId="1" xfId="0" applyNumberFormat="1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left" vertical="center"/>
    </xf>
    <xf numFmtId="165" fontId="16" fillId="12" borderId="1" xfId="0" applyNumberFormat="1" applyFont="1" applyFill="1" applyBorder="1" applyAlignment="1">
      <alignment horizontal="center" vertical="center"/>
    </xf>
    <xf numFmtId="166" fontId="16" fillId="12" borderId="1" xfId="0" applyNumberFormat="1" applyFont="1" applyFill="1" applyBorder="1" applyAlignment="1">
      <alignment horizontal="center" vertical="center"/>
    </xf>
    <xf numFmtId="1" fontId="16" fillId="12" borderId="1" xfId="0" applyNumberFormat="1" applyFont="1" applyFill="1" applyBorder="1" applyAlignment="1">
      <alignment horizontal="center" vertical="center"/>
    </xf>
    <xf numFmtId="167" fontId="16" fillId="12" borderId="1" xfId="0" applyNumberFormat="1" applyFont="1" applyFill="1" applyBorder="1" applyAlignment="1">
      <alignment horizontal="center" vertical="center"/>
    </xf>
    <xf numFmtId="164" fontId="16" fillId="12" borderId="2" xfId="0" applyNumberFormat="1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left" vertical="center"/>
    </xf>
    <xf numFmtId="165" fontId="16" fillId="12" borderId="2" xfId="0" applyNumberFormat="1" applyFont="1" applyFill="1" applyBorder="1" applyAlignment="1">
      <alignment horizontal="center" vertical="center"/>
    </xf>
    <xf numFmtId="166" fontId="16" fillId="12" borderId="2" xfId="0" applyNumberFormat="1" applyFont="1" applyFill="1" applyBorder="1" applyAlignment="1">
      <alignment horizontal="center" vertical="center"/>
    </xf>
    <xf numFmtId="1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0" fillId="7" borderId="3" xfId="0" applyFill="1" applyBorder="1" applyAlignment="1">
      <alignment vertical="center"/>
    </xf>
  </cellXfs>
  <cellStyles count="1"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8DAFF"/>
          <bgColor rgb="FFE8DA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workbookViewId="0">
      <pane ySplit="5" topLeftCell="A10" activePane="bottomLeft" state="frozen"/>
      <selection pane="bottomLeft" activeCell="J22" sqref="J22"/>
    </sheetView>
  </sheetViews>
  <sheetFormatPr defaultRowHeight="15" x14ac:dyDescent="0.25"/>
  <cols>
    <col min="1" max="1" width="12" customWidth="1"/>
    <col min="2" max="2" width="10" customWidth="1"/>
    <col min="3" max="3" width="24" customWidth="1"/>
    <col min="4" max="4" width="12" customWidth="1"/>
    <col min="5" max="5" width="8" customWidth="1"/>
    <col min="6" max="6" width="10" customWidth="1"/>
    <col min="7" max="7" width="42" customWidth="1"/>
    <col min="8" max="10" width="14" customWidth="1"/>
  </cols>
  <sheetData>
    <row r="1" spans="1:10" ht="27.95" customHeight="1" x14ac:dyDescent="0.25">
      <c r="A1" s="32" t="s">
        <v>0</v>
      </c>
      <c r="B1" s="33"/>
      <c r="C1" s="33"/>
      <c r="D1" s="33"/>
      <c r="E1" s="33"/>
      <c r="F1" s="33"/>
      <c r="G1" s="33"/>
      <c r="H1" s="33"/>
      <c r="I1" s="33"/>
    </row>
    <row r="2" spans="1:10" ht="15.95" customHeight="1" x14ac:dyDescent="0.25">
      <c r="A2" s="36" t="s">
        <v>1</v>
      </c>
      <c r="B2" s="33"/>
      <c r="C2" s="33"/>
      <c r="D2" s="33"/>
      <c r="E2" s="33"/>
      <c r="F2" s="33"/>
      <c r="G2" s="33"/>
      <c r="H2" s="33"/>
      <c r="I2" s="33"/>
    </row>
    <row r="3" spans="1:10" ht="21.95" customHeight="1" x14ac:dyDescent="0.25">
      <c r="A3" s="1" t="s">
        <v>2</v>
      </c>
      <c r="B3" s="2" t="s">
        <v>3</v>
      </c>
      <c r="C3" s="1" t="s">
        <v>4</v>
      </c>
      <c r="D3" s="35" t="s">
        <v>5</v>
      </c>
      <c r="E3" s="33"/>
      <c r="F3" s="33"/>
      <c r="G3" s="3" t="s">
        <v>6</v>
      </c>
      <c r="H3" s="4" t="s">
        <v>7</v>
      </c>
    </row>
    <row r="4" spans="1:10" ht="18" customHeight="1" x14ac:dyDescent="0.25">
      <c r="A4" s="34" t="s">
        <v>8</v>
      </c>
      <c r="B4" s="33"/>
      <c r="C4" s="33"/>
      <c r="D4" s="33"/>
      <c r="E4" s="33"/>
      <c r="F4" s="33"/>
      <c r="G4" s="33"/>
      <c r="H4" s="33"/>
      <c r="I4" s="33"/>
    </row>
    <row r="5" spans="1:10" ht="26.1" customHeight="1" x14ac:dyDescent="0.25">
      <c r="A5" s="5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5" t="s">
        <v>16</v>
      </c>
      <c r="I5" s="5" t="s">
        <v>17</v>
      </c>
      <c r="J5" s="5" t="s">
        <v>18</v>
      </c>
    </row>
    <row r="6" spans="1:10" ht="18" customHeight="1" x14ac:dyDescent="0.25">
      <c r="A6" s="6" t="s">
        <v>19</v>
      </c>
      <c r="B6" s="6" t="s">
        <v>3</v>
      </c>
      <c r="C6" s="6" t="s">
        <v>20</v>
      </c>
      <c r="D6" s="6" t="s">
        <v>21</v>
      </c>
      <c r="E6" s="6" t="s">
        <v>22</v>
      </c>
      <c r="F6" s="6" t="s">
        <v>23</v>
      </c>
      <c r="G6" s="7" t="s">
        <v>24</v>
      </c>
      <c r="H6" s="8">
        <v>12000</v>
      </c>
      <c r="I6" s="9">
        <v>12000</v>
      </c>
      <c r="J6" s="10">
        <v>0</v>
      </c>
    </row>
    <row r="7" spans="1:10" ht="18" customHeight="1" x14ac:dyDescent="0.25">
      <c r="A7" s="11" t="s">
        <v>19</v>
      </c>
      <c r="B7" s="11" t="s">
        <v>3</v>
      </c>
      <c r="C7" s="11" t="s">
        <v>20</v>
      </c>
      <c r="D7" s="11" t="s">
        <v>25</v>
      </c>
      <c r="E7" s="11" t="s">
        <v>22</v>
      </c>
      <c r="F7" s="11" t="s">
        <v>26</v>
      </c>
      <c r="G7" s="12" t="s">
        <v>27</v>
      </c>
      <c r="H7" s="13">
        <v>20000</v>
      </c>
      <c r="I7" s="14">
        <v>20000</v>
      </c>
      <c r="J7" s="15">
        <v>0</v>
      </c>
    </row>
    <row r="8" spans="1:10" ht="18" customHeight="1" x14ac:dyDescent="0.25">
      <c r="A8" s="6"/>
      <c r="B8" s="6" t="s">
        <v>3</v>
      </c>
      <c r="C8" s="6" t="s">
        <v>20</v>
      </c>
      <c r="D8" s="6" t="s">
        <v>21</v>
      </c>
      <c r="E8" s="6" t="s">
        <v>28</v>
      </c>
      <c r="F8" s="6" t="s">
        <v>23</v>
      </c>
      <c r="G8" s="7" t="s">
        <v>29</v>
      </c>
      <c r="H8" s="8">
        <v>10000</v>
      </c>
      <c r="I8" s="9">
        <v>10000</v>
      </c>
      <c r="J8" s="10">
        <v>0</v>
      </c>
    </row>
    <row r="9" spans="1:10" ht="18" customHeight="1" x14ac:dyDescent="0.25">
      <c r="A9" s="11"/>
      <c r="B9" s="11" t="s">
        <v>3</v>
      </c>
      <c r="C9" s="11" t="s">
        <v>20</v>
      </c>
      <c r="D9" s="11"/>
      <c r="E9" s="11"/>
      <c r="F9" s="11"/>
      <c r="G9" s="12" t="s">
        <v>30</v>
      </c>
      <c r="H9" s="13">
        <v>2000</v>
      </c>
      <c r="I9" s="14">
        <v>0</v>
      </c>
      <c r="J9" s="16">
        <v>2000</v>
      </c>
    </row>
    <row r="10" spans="1:10" ht="18" customHeight="1" x14ac:dyDescent="0.25">
      <c r="A10" s="6" t="s">
        <v>31</v>
      </c>
      <c r="B10" s="6" t="s">
        <v>3</v>
      </c>
      <c r="C10" s="6" t="s">
        <v>20</v>
      </c>
      <c r="D10" s="6"/>
      <c r="E10" s="6"/>
      <c r="F10" s="6"/>
      <c r="G10" s="7" t="s">
        <v>32</v>
      </c>
      <c r="H10" s="8">
        <v>0</v>
      </c>
      <c r="I10" s="9">
        <v>2000</v>
      </c>
      <c r="J10" s="10">
        <v>0</v>
      </c>
    </row>
    <row r="11" spans="1:10" ht="18" customHeight="1" x14ac:dyDescent="0.25">
      <c r="A11" s="11"/>
      <c r="B11" s="11" t="s">
        <v>3</v>
      </c>
      <c r="C11" s="11" t="s">
        <v>20</v>
      </c>
      <c r="D11" s="11"/>
      <c r="E11" s="11" t="s">
        <v>28</v>
      </c>
      <c r="F11" s="11"/>
      <c r="G11" s="12" t="s">
        <v>33</v>
      </c>
      <c r="H11" s="13">
        <v>13000</v>
      </c>
      <c r="I11" s="14">
        <v>15000</v>
      </c>
      <c r="J11" s="15">
        <v>0</v>
      </c>
    </row>
    <row r="12" spans="1:10" ht="18" customHeight="1" x14ac:dyDescent="0.25">
      <c r="A12" s="6"/>
      <c r="B12" s="6" t="s">
        <v>3</v>
      </c>
      <c r="C12" s="6" t="s">
        <v>20</v>
      </c>
      <c r="D12" s="6" t="s">
        <v>34</v>
      </c>
      <c r="E12" s="6" t="s">
        <v>35</v>
      </c>
      <c r="F12" s="6" t="s">
        <v>36</v>
      </c>
      <c r="G12" s="7" t="s">
        <v>37</v>
      </c>
      <c r="H12" s="8">
        <v>0</v>
      </c>
      <c r="I12" s="9">
        <v>0</v>
      </c>
      <c r="J12" s="10">
        <v>0</v>
      </c>
    </row>
    <row r="13" spans="1:10" ht="18" customHeight="1" x14ac:dyDescent="0.25">
      <c r="A13" s="11"/>
      <c r="B13" s="11" t="s">
        <v>3</v>
      </c>
      <c r="C13" s="11" t="s">
        <v>20</v>
      </c>
      <c r="D13" s="11" t="s">
        <v>38</v>
      </c>
      <c r="E13" s="11" t="s">
        <v>35</v>
      </c>
      <c r="F13" s="11" t="s">
        <v>39</v>
      </c>
      <c r="G13" s="12" t="s">
        <v>40</v>
      </c>
      <c r="H13" s="13">
        <v>0</v>
      </c>
      <c r="I13" s="14">
        <v>0</v>
      </c>
      <c r="J13" s="15">
        <v>0</v>
      </c>
    </row>
    <row r="14" spans="1:10" ht="18" customHeight="1" x14ac:dyDescent="0.25">
      <c r="A14" s="6"/>
      <c r="B14" s="6" t="s">
        <v>3</v>
      </c>
      <c r="C14" s="6" t="s">
        <v>20</v>
      </c>
      <c r="D14" s="6" t="s">
        <v>41</v>
      </c>
      <c r="E14" s="6" t="s">
        <v>35</v>
      </c>
      <c r="F14" s="6" t="s">
        <v>42</v>
      </c>
      <c r="G14" s="7" t="s">
        <v>43</v>
      </c>
      <c r="H14" s="8">
        <v>50000</v>
      </c>
      <c r="I14" s="9">
        <v>0</v>
      </c>
      <c r="J14" s="17">
        <v>50000</v>
      </c>
    </row>
    <row r="15" spans="1:10" ht="18" customHeight="1" x14ac:dyDescent="0.25">
      <c r="A15" s="11" t="s">
        <v>44</v>
      </c>
      <c r="B15" s="11" t="s">
        <v>3</v>
      </c>
      <c r="C15" s="11" t="s">
        <v>20</v>
      </c>
      <c r="D15" s="11"/>
      <c r="E15" s="11"/>
      <c r="F15" s="11"/>
      <c r="G15" s="12" t="s">
        <v>45</v>
      </c>
      <c r="H15" s="13">
        <v>0</v>
      </c>
      <c r="I15" s="14">
        <v>10000</v>
      </c>
      <c r="J15" s="16">
        <v>40000</v>
      </c>
    </row>
    <row r="16" spans="1:10" ht="18" customHeight="1" x14ac:dyDescent="0.25">
      <c r="A16" s="6" t="s">
        <v>44</v>
      </c>
      <c r="B16" s="6" t="s">
        <v>3</v>
      </c>
      <c r="C16" s="6" t="s">
        <v>20</v>
      </c>
      <c r="D16" s="6"/>
      <c r="E16" s="6"/>
      <c r="F16" s="6"/>
      <c r="G16" s="7" t="s">
        <v>45</v>
      </c>
      <c r="H16" s="8">
        <v>0</v>
      </c>
      <c r="I16" s="9">
        <v>19800</v>
      </c>
      <c r="J16" s="17">
        <v>20200</v>
      </c>
    </row>
    <row r="17" spans="1:10" ht="18" customHeight="1" x14ac:dyDescent="0.25">
      <c r="A17" s="11"/>
      <c r="B17" s="11" t="s">
        <v>3</v>
      </c>
      <c r="C17" s="11" t="s">
        <v>20</v>
      </c>
      <c r="D17" s="11" t="s">
        <v>46</v>
      </c>
      <c r="E17" s="11" t="s">
        <v>22</v>
      </c>
      <c r="F17" s="11" t="s">
        <v>47</v>
      </c>
      <c r="G17" s="12" t="s">
        <v>48</v>
      </c>
      <c r="H17" s="13">
        <v>20000</v>
      </c>
      <c r="I17" s="14">
        <v>0</v>
      </c>
      <c r="J17" s="16">
        <v>40200</v>
      </c>
    </row>
    <row r="18" spans="1:10" ht="18" customHeight="1" x14ac:dyDescent="0.25">
      <c r="A18" s="6" t="s">
        <v>49</v>
      </c>
      <c r="B18" s="6" t="s">
        <v>3</v>
      </c>
      <c r="C18" s="6" t="s">
        <v>20</v>
      </c>
      <c r="D18" s="6"/>
      <c r="E18" s="6"/>
      <c r="F18" s="6"/>
      <c r="G18" s="7" t="s">
        <v>45</v>
      </c>
      <c r="H18" s="8">
        <v>0</v>
      </c>
      <c r="I18" s="9">
        <v>4000</v>
      </c>
      <c r="J18" s="17">
        <v>36200</v>
      </c>
    </row>
    <row r="19" spans="1:10" ht="18" customHeight="1" x14ac:dyDescent="0.25">
      <c r="A19" s="11" t="s">
        <v>50</v>
      </c>
      <c r="B19" s="11" t="s">
        <v>3</v>
      </c>
      <c r="C19" s="11" t="s">
        <v>20</v>
      </c>
      <c r="D19" s="11"/>
      <c r="E19" s="11"/>
      <c r="F19" s="11"/>
      <c r="G19" s="12" t="s">
        <v>51</v>
      </c>
      <c r="H19" s="13">
        <v>0</v>
      </c>
      <c r="I19" s="14">
        <v>24000</v>
      </c>
      <c r="J19" s="16">
        <v>12200</v>
      </c>
    </row>
    <row r="22" spans="1:10" x14ac:dyDescent="0.25">
      <c r="A22" s="29">
        <v>45208</v>
      </c>
      <c r="B22" t="s">
        <v>54</v>
      </c>
      <c r="C22" t="s">
        <v>124</v>
      </c>
      <c r="D22" t="s">
        <v>95</v>
      </c>
      <c r="E22" t="s">
        <v>22</v>
      </c>
      <c r="F22">
        <v>688070</v>
      </c>
      <c r="G22" t="s">
        <v>96</v>
      </c>
      <c r="H22" t="s">
        <v>97</v>
      </c>
      <c r="J22" t="s">
        <v>97</v>
      </c>
    </row>
    <row r="23" spans="1:10" x14ac:dyDescent="0.25">
      <c r="A23" s="29">
        <v>45208</v>
      </c>
      <c r="B23" t="s">
        <v>54</v>
      </c>
      <c r="C23" t="s">
        <v>124</v>
      </c>
      <c r="G23" t="s">
        <v>45</v>
      </c>
      <c r="I23" t="s">
        <v>97</v>
      </c>
      <c r="J23" t="s">
        <v>98</v>
      </c>
    </row>
    <row r="24" spans="1:10" x14ac:dyDescent="0.25">
      <c r="A24" s="29">
        <v>45209</v>
      </c>
      <c r="B24" t="s">
        <v>54</v>
      </c>
      <c r="C24" t="s">
        <v>124</v>
      </c>
      <c r="D24" t="s">
        <v>99</v>
      </c>
      <c r="E24" t="s">
        <v>22</v>
      </c>
      <c r="F24">
        <v>692272</v>
      </c>
      <c r="G24" t="s">
        <v>100</v>
      </c>
      <c r="H24" t="s">
        <v>101</v>
      </c>
      <c r="I24" t="s">
        <v>101</v>
      </c>
      <c r="J24" t="s">
        <v>98</v>
      </c>
    </row>
    <row r="25" spans="1:10" x14ac:dyDescent="0.25">
      <c r="A25" s="29">
        <v>45221</v>
      </c>
      <c r="B25" t="s">
        <v>54</v>
      </c>
      <c r="C25" t="s">
        <v>124</v>
      </c>
      <c r="D25" t="s">
        <v>102</v>
      </c>
      <c r="E25" t="s">
        <v>22</v>
      </c>
      <c r="F25">
        <v>678913</v>
      </c>
      <c r="G25" t="s">
        <v>103</v>
      </c>
      <c r="H25" t="s">
        <v>104</v>
      </c>
      <c r="I25" t="s">
        <v>104</v>
      </c>
      <c r="J25" t="s">
        <v>98</v>
      </c>
    </row>
    <row r="26" spans="1:10" x14ac:dyDescent="0.25">
      <c r="A26" s="29">
        <v>45252</v>
      </c>
      <c r="B26" t="s">
        <v>54</v>
      </c>
      <c r="C26" t="s">
        <v>124</v>
      </c>
      <c r="D26" t="s">
        <v>105</v>
      </c>
      <c r="E26" t="s">
        <v>22</v>
      </c>
      <c r="F26">
        <v>679149</v>
      </c>
      <c r="G26" t="s">
        <v>106</v>
      </c>
      <c r="H26" t="s">
        <v>107</v>
      </c>
      <c r="I26" t="s">
        <v>107</v>
      </c>
      <c r="J26" t="s">
        <v>98</v>
      </c>
    </row>
    <row r="27" spans="1:10" x14ac:dyDescent="0.25">
      <c r="A27" s="29">
        <v>45295</v>
      </c>
      <c r="B27" t="s">
        <v>54</v>
      </c>
      <c r="C27" t="s">
        <v>124</v>
      </c>
      <c r="D27" t="s">
        <v>108</v>
      </c>
      <c r="E27" t="s">
        <v>22</v>
      </c>
      <c r="F27">
        <v>710152</v>
      </c>
      <c r="G27" t="s">
        <v>109</v>
      </c>
      <c r="H27" t="s">
        <v>107</v>
      </c>
      <c r="I27" t="s">
        <v>107</v>
      </c>
      <c r="J27" t="s">
        <v>98</v>
      </c>
    </row>
    <row r="28" spans="1:10" x14ac:dyDescent="0.25">
      <c r="A28" s="29">
        <v>45310</v>
      </c>
      <c r="B28" t="s">
        <v>54</v>
      </c>
      <c r="C28" t="s">
        <v>124</v>
      </c>
      <c r="D28" t="s">
        <v>110</v>
      </c>
      <c r="E28" t="s">
        <v>22</v>
      </c>
      <c r="F28">
        <v>704009</v>
      </c>
      <c r="G28" t="s">
        <v>111</v>
      </c>
      <c r="H28" t="s">
        <v>112</v>
      </c>
      <c r="I28" t="s">
        <v>112</v>
      </c>
      <c r="J28" t="s">
        <v>98</v>
      </c>
    </row>
    <row r="29" spans="1:10" x14ac:dyDescent="0.25">
      <c r="A29" s="29">
        <v>45367</v>
      </c>
      <c r="B29" t="s">
        <v>54</v>
      </c>
      <c r="C29" t="s">
        <v>124</v>
      </c>
      <c r="D29" t="s">
        <v>113</v>
      </c>
      <c r="E29" t="s">
        <v>35</v>
      </c>
      <c r="F29">
        <v>747084</v>
      </c>
      <c r="G29" t="s">
        <v>114</v>
      </c>
      <c r="H29" t="s">
        <v>115</v>
      </c>
      <c r="I29" t="s">
        <v>115</v>
      </c>
      <c r="J29" t="s">
        <v>98</v>
      </c>
    </row>
    <row r="30" spans="1:10" x14ac:dyDescent="0.25">
      <c r="A30" s="29">
        <v>45370</v>
      </c>
      <c r="B30" t="s">
        <v>54</v>
      </c>
      <c r="C30" t="s">
        <v>124</v>
      </c>
      <c r="D30" t="s">
        <v>116</v>
      </c>
      <c r="E30" t="s">
        <v>35</v>
      </c>
      <c r="F30">
        <v>747081</v>
      </c>
      <c r="G30" t="s">
        <v>117</v>
      </c>
      <c r="H30" t="s">
        <v>115</v>
      </c>
      <c r="J30" t="s">
        <v>115</v>
      </c>
    </row>
    <row r="31" spans="1:10" x14ac:dyDescent="0.25">
      <c r="A31" s="29">
        <v>45370</v>
      </c>
      <c r="B31" t="s">
        <v>54</v>
      </c>
      <c r="C31" t="s">
        <v>124</v>
      </c>
      <c r="D31" t="s">
        <v>118</v>
      </c>
      <c r="E31" t="s">
        <v>35</v>
      </c>
      <c r="F31">
        <v>747079</v>
      </c>
      <c r="G31" t="s">
        <v>119</v>
      </c>
      <c r="H31" t="s">
        <v>115</v>
      </c>
      <c r="J31" t="s">
        <v>101</v>
      </c>
    </row>
    <row r="32" spans="1:10" x14ac:dyDescent="0.25">
      <c r="A32" s="29">
        <v>45370</v>
      </c>
      <c r="B32" t="s">
        <v>54</v>
      </c>
      <c r="C32" t="s">
        <v>124</v>
      </c>
      <c r="G32" t="s">
        <v>45</v>
      </c>
      <c r="I32" t="s">
        <v>101</v>
      </c>
      <c r="J32" t="s">
        <v>98</v>
      </c>
    </row>
    <row r="33" spans="1:10" x14ac:dyDescent="0.25">
      <c r="A33" s="29">
        <v>45373</v>
      </c>
      <c r="B33" t="s">
        <v>54</v>
      </c>
      <c r="C33" t="s">
        <v>124</v>
      </c>
      <c r="D33" t="s">
        <v>120</v>
      </c>
      <c r="E33" t="s">
        <v>35</v>
      </c>
      <c r="F33">
        <v>747934</v>
      </c>
      <c r="G33" t="s">
        <v>121</v>
      </c>
      <c r="H33" t="s">
        <v>115</v>
      </c>
      <c r="J33" t="s">
        <v>115</v>
      </c>
    </row>
    <row r="34" spans="1:10" x14ac:dyDescent="0.25">
      <c r="A34" s="29">
        <v>45373</v>
      </c>
      <c r="B34" t="s">
        <v>54</v>
      </c>
      <c r="C34" t="s">
        <v>124</v>
      </c>
      <c r="G34" t="s">
        <v>45</v>
      </c>
      <c r="I34" t="s">
        <v>115</v>
      </c>
      <c r="J34" t="s">
        <v>98</v>
      </c>
    </row>
    <row r="35" spans="1:10" x14ac:dyDescent="0.25">
      <c r="A35" s="29">
        <v>45469</v>
      </c>
      <c r="B35" t="s">
        <v>54</v>
      </c>
      <c r="C35" t="s">
        <v>124</v>
      </c>
      <c r="D35" t="s">
        <v>122</v>
      </c>
      <c r="E35" t="s">
        <v>35</v>
      </c>
      <c r="F35">
        <v>760734</v>
      </c>
      <c r="G35" t="s">
        <v>123</v>
      </c>
      <c r="H35" t="s">
        <v>115</v>
      </c>
      <c r="I35" t="s">
        <v>115</v>
      </c>
      <c r="J35" t="s">
        <v>98</v>
      </c>
    </row>
  </sheetData>
  <mergeCells count="4">
    <mergeCell ref="A1:I1"/>
    <mergeCell ref="A4:I4"/>
    <mergeCell ref="D3:F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9"/>
  <sheetViews>
    <sheetView tabSelected="1" workbookViewId="0">
      <pane ySplit="3" topLeftCell="A206" activePane="bottomLeft" state="frozen"/>
      <selection pane="bottomLeft" activeCell="C221" sqref="C221"/>
    </sheetView>
  </sheetViews>
  <sheetFormatPr defaultRowHeight="15" x14ac:dyDescent="0.25"/>
  <cols>
    <col min="1" max="1" width="12" customWidth="1"/>
    <col min="2" max="2" width="10" customWidth="1"/>
    <col min="3" max="3" width="24" customWidth="1"/>
    <col min="4" max="4" width="12" customWidth="1"/>
    <col min="5" max="5" width="14" customWidth="1"/>
    <col min="6" max="6" width="10" customWidth="1"/>
    <col min="7" max="7" width="40" customWidth="1"/>
    <col min="8" max="10" width="14" customWidth="1"/>
  </cols>
  <sheetData>
    <row r="1" spans="1:10" ht="27.95" customHeight="1" x14ac:dyDescent="0.25">
      <c r="A1" s="37" t="s">
        <v>52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18" customHeight="1" x14ac:dyDescent="0.25">
      <c r="A2" s="34" t="s">
        <v>53</v>
      </c>
      <c r="B2" s="33"/>
      <c r="C2" s="33"/>
      <c r="D2" s="33"/>
      <c r="E2" s="33"/>
      <c r="F2" s="33"/>
      <c r="G2" s="33"/>
      <c r="H2" s="33"/>
      <c r="I2" s="33"/>
      <c r="J2" s="33"/>
    </row>
    <row r="3" spans="1:10" ht="26.1" customHeight="1" x14ac:dyDescent="0.25">
      <c r="A3" s="18" t="s">
        <v>9</v>
      </c>
      <c r="B3" s="18" t="s">
        <v>10</v>
      </c>
      <c r="C3" s="18" t="s">
        <v>11</v>
      </c>
      <c r="D3" s="18" t="s">
        <v>12</v>
      </c>
      <c r="E3" s="18" t="s">
        <v>13</v>
      </c>
      <c r="F3" s="18" t="s">
        <v>14</v>
      </c>
      <c r="G3" s="18" t="s">
        <v>15</v>
      </c>
      <c r="H3" s="18" t="s">
        <v>16</v>
      </c>
      <c r="I3" s="18" t="s">
        <v>17</v>
      </c>
      <c r="J3" s="18" t="s">
        <v>18</v>
      </c>
    </row>
    <row r="4" spans="1:10" ht="18" customHeight="1" x14ac:dyDescent="0.25">
      <c r="A4" s="30">
        <v>45208</v>
      </c>
      <c r="B4" s="6" t="s">
        <v>54</v>
      </c>
      <c r="C4" s="6" t="s">
        <v>124</v>
      </c>
      <c r="D4" s="6" t="s">
        <v>95</v>
      </c>
      <c r="E4" s="6" t="s">
        <v>22</v>
      </c>
      <c r="F4" s="6">
        <v>688070</v>
      </c>
      <c r="G4" s="7" t="s">
        <v>96</v>
      </c>
      <c r="H4" s="8">
        <v>15000</v>
      </c>
      <c r="I4" s="9"/>
      <c r="J4" s="10">
        <v>15000</v>
      </c>
    </row>
    <row r="5" spans="1:10" ht="18" customHeight="1" x14ac:dyDescent="0.25">
      <c r="A5" s="31">
        <v>45208</v>
      </c>
      <c r="B5" s="6" t="s">
        <v>54</v>
      </c>
      <c r="C5" s="6" t="s">
        <v>124</v>
      </c>
      <c r="D5" s="6"/>
      <c r="E5" s="19"/>
      <c r="F5" s="19"/>
      <c r="G5" s="20" t="s">
        <v>45</v>
      </c>
      <c r="H5" s="21"/>
      <c r="I5" s="22">
        <v>15000</v>
      </c>
      <c r="J5" s="23">
        <v>0</v>
      </c>
    </row>
    <row r="6" spans="1:10" ht="18" customHeight="1" x14ac:dyDescent="0.25">
      <c r="A6" s="30">
        <v>45209</v>
      </c>
      <c r="B6" s="6" t="s">
        <v>54</v>
      </c>
      <c r="C6" s="6" t="s">
        <v>124</v>
      </c>
      <c r="D6" s="6" t="s">
        <v>99</v>
      </c>
      <c r="E6" s="6" t="s">
        <v>22</v>
      </c>
      <c r="F6" s="6">
        <v>692272</v>
      </c>
      <c r="G6" s="7" t="s">
        <v>100</v>
      </c>
      <c r="H6" s="8">
        <v>10000</v>
      </c>
      <c r="I6" s="9">
        <v>10000</v>
      </c>
      <c r="J6" s="17">
        <v>0</v>
      </c>
    </row>
    <row r="11" spans="1:10" ht="17.25" x14ac:dyDescent="0.25">
      <c r="A11" s="40">
        <v>45208</v>
      </c>
      <c r="B11" s="6" t="s">
        <v>54</v>
      </c>
      <c r="C11" s="6" t="s">
        <v>124</v>
      </c>
      <c r="D11" s="41" t="s">
        <v>275</v>
      </c>
      <c r="E11" s="41" t="s">
        <v>22</v>
      </c>
      <c r="F11" s="41">
        <v>688070</v>
      </c>
      <c r="G11" s="42" t="s">
        <v>96</v>
      </c>
      <c r="H11" s="43">
        <v>15000</v>
      </c>
      <c r="I11" s="43"/>
      <c r="J11" s="43">
        <f>IF(AND(H11="", I11=""), "", H11 - I11)</f>
        <v>15000</v>
      </c>
    </row>
    <row r="12" spans="1:10" ht="17.25" x14ac:dyDescent="0.25">
      <c r="A12" s="44">
        <v>45208</v>
      </c>
      <c r="B12" s="6" t="s">
        <v>54</v>
      </c>
      <c r="C12" s="6" t="s">
        <v>124</v>
      </c>
      <c r="D12" s="45"/>
      <c r="E12" s="41"/>
      <c r="F12" s="41"/>
      <c r="G12" s="42" t="s">
        <v>45</v>
      </c>
      <c r="H12" s="43"/>
      <c r="I12" s="43">
        <v>15000</v>
      </c>
      <c r="J12" s="43">
        <f t="shared" ref="J12:J70" si="0">IF(AND(H12="", I12=""), "", J11 + H12 - I12)</f>
        <v>0</v>
      </c>
    </row>
    <row r="13" spans="1:10" ht="17.25" x14ac:dyDescent="0.25">
      <c r="A13" s="44">
        <v>45209</v>
      </c>
      <c r="B13" s="6" t="s">
        <v>54</v>
      </c>
      <c r="C13" s="6" t="s">
        <v>124</v>
      </c>
      <c r="D13" s="45" t="s">
        <v>307</v>
      </c>
      <c r="E13" s="41" t="s">
        <v>22</v>
      </c>
      <c r="F13" s="41">
        <v>692272</v>
      </c>
      <c r="G13" s="42" t="s">
        <v>100</v>
      </c>
      <c r="H13" s="43">
        <v>10000</v>
      </c>
      <c r="I13" s="43">
        <v>10000</v>
      </c>
      <c r="J13" s="43">
        <f t="shared" si="0"/>
        <v>0</v>
      </c>
    </row>
    <row r="14" spans="1:10" ht="17.25" x14ac:dyDescent="0.25">
      <c r="A14" s="44">
        <v>45221</v>
      </c>
      <c r="B14" s="6" t="s">
        <v>54</v>
      </c>
      <c r="C14" s="6" t="s">
        <v>124</v>
      </c>
      <c r="D14" s="45" t="s">
        <v>308</v>
      </c>
      <c r="E14" s="41" t="s">
        <v>22</v>
      </c>
      <c r="F14" s="41">
        <v>678913</v>
      </c>
      <c r="G14" s="42" t="s">
        <v>103</v>
      </c>
      <c r="H14" s="43">
        <v>8000</v>
      </c>
      <c r="I14" s="43">
        <v>8000</v>
      </c>
      <c r="J14" s="43">
        <f t="shared" si="0"/>
        <v>0</v>
      </c>
    </row>
    <row r="15" spans="1:10" ht="17.25" x14ac:dyDescent="0.25">
      <c r="A15" s="40">
        <v>45252</v>
      </c>
      <c r="B15" s="6" t="s">
        <v>54</v>
      </c>
      <c r="C15" s="6" t="s">
        <v>124</v>
      </c>
      <c r="D15" s="41" t="s">
        <v>294</v>
      </c>
      <c r="E15" s="41" t="s">
        <v>22</v>
      </c>
      <c r="F15" s="41">
        <v>679149</v>
      </c>
      <c r="G15" s="42" t="s">
        <v>106</v>
      </c>
      <c r="H15" s="43">
        <v>9600</v>
      </c>
      <c r="I15" s="43">
        <v>9600</v>
      </c>
      <c r="J15" s="43">
        <f t="shared" si="0"/>
        <v>0</v>
      </c>
    </row>
    <row r="16" spans="1:10" ht="17.25" x14ac:dyDescent="0.25">
      <c r="A16" s="40">
        <v>45295</v>
      </c>
      <c r="B16" s="6" t="s">
        <v>54</v>
      </c>
      <c r="C16" s="6" t="s">
        <v>124</v>
      </c>
      <c r="D16" s="41" t="s">
        <v>309</v>
      </c>
      <c r="E16" s="41" t="s">
        <v>22</v>
      </c>
      <c r="F16" s="41">
        <v>710152</v>
      </c>
      <c r="G16" s="42" t="s">
        <v>109</v>
      </c>
      <c r="H16" s="43">
        <v>9600</v>
      </c>
      <c r="I16" s="43">
        <v>9600</v>
      </c>
      <c r="J16" s="43">
        <f t="shared" si="0"/>
        <v>0</v>
      </c>
    </row>
    <row r="17" spans="1:10" ht="17.25" x14ac:dyDescent="0.25">
      <c r="A17" s="40">
        <v>45310</v>
      </c>
      <c r="B17" s="6" t="s">
        <v>54</v>
      </c>
      <c r="C17" s="6" t="s">
        <v>124</v>
      </c>
      <c r="D17" s="41" t="s">
        <v>310</v>
      </c>
      <c r="E17" s="41" t="s">
        <v>22</v>
      </c>
      <c r="F17" s="41">
        <v>704009</v>
      </c>
      <c r="G17" s="42" t="s">
        <v>111</v>
      </c>
      <c r="H17" s="43">
        <v>10600</v>
      </c>
      <c r="I17" s="43">
        <v>10600</v>
      </c>
      <c r="J17" s="43">
        <f t="shared" si="0"/>
        <v>0</v>
      </c>
    </row>
    <row r="18" spans="1:10" ht="17.25" x14ac:dyDescent="0.25">
      <c r="A18" s="40">
        <v>45367</v>
      </c>
      <c r="B18" s="6" t="s">
        <v>54</v>
      </c>
      <c r="C18" s="6" t="s">
        <v>124</v>
      </c>
      <c r="D18" s="41" t="s">
        <v>311</v>
      </c>
      <c r="E18" s="41" t="s">
        <v>35</v>
      </c>
      <c r="F18" s="41">
        <v>747084</v>
      </c>
      <c r="G18" s="42" t="s">
        <v>114</v>
      </c>
      <c r="H18" s="43">
        <v>5000</v>
      </c>
      <c r="I18" s="43">
        <v>5000</v>
      </c>
      <c r="J18" s="43">
        <f t="shared" si="0"/>
        <v>0</v>
      </c>
    </row>
    <row r="19" spans="1:10" ht="17.25" x14ac:dyDescent="0.25">
      <c r="A19" s="40">
        <v>45370</v>
      </c>
      <c r="B19" s="6" t="s">
        <v>54</v>
      </c>
      <c r="C19" s="6" t="s">
        <v>124</v>
      </c>
      <c r="D19" s="41" t="s">
        <v>312</v>
      </c>
      <c r="E19" s="41" t="s">
        <v>35</v>
      </c>
      <c r="F19" s="41">
        <v>747081</v>
      </c>
      <c r="G19" s="42" t="s">
        <v>117</v>
      </c>
      <c r="H19" s="43">
        <v>5000</v>
      </c>
      <c r="I19" s="43"/>
      <c r="J19" s="43">
        <f t="shared" si="0"/>
        <v>5000</v>
      </c>
    </row>
    <row r="20" spans="1:10" ht="17.25" x14ac:dyDescent="0.25">
      <c r="A20" s="40">
        <v>45370</v>
      </c>
      <c r="B20" s="6" t="s">
        <v>54</v>
      </c>
      <c r="C20" s="6" t="s">
        <v>124</v>
      </c>
      <c r="D20" s="41" t="s">
        <v>313</v>
      </c>
      <c r="E20" s="41" t="s">
        <v>35</v>
      </c>
      <c r="F20" s="41">
        <v>747079</v>
      </c>
      <c r="G20" s="42" t="s">
        <v>119</v>
      </c>
      <c r="H20" s="43">
        <v>5000</v>
      </c>
      <c r="I20" s="43"/>
      <c r="J20" s="43">
        <f t="shared" si="0"/>
        <v>10000</v>
      </c>
    </row>
    <row r="21" spans="1:10" ht="17.25" x14ac:dyDescent="0.25">
      <c r="A21" s="40">
        <v>45370</v>
      </c>
      <c r="B21" s="6" t="s">
        <v>54</v>
      </c>
      <c r="C21" s="6" t="s">
        <v>124</v>
      </c>
      <c r="D21" s="41"/>
      <c r="E21" s="41"/>
      <c r="F21" s="41"/>
      <c r="G21" s="42" t="s">
        <v>45</v>
      </c>
      <c r="H21" s="43"/>
      <c r="I21" s="43">
        <v>10000</v>
      </c>
      <c r="J21" s="43">
        <f t="shared" si="0"/>
        <v>0</v>
      </c>
    </row>
    <row r="22" spans="1:10" ht="17.25" x14ac:dyDescent="0.25">
      <c r="A22" s="40">
        <v>45373</v>
      </c>
      <c r="B22" s="6" t="s">
        <v>54</v>
      </c>
      <c r="C22" s="6" t="s">
        <v>124</v>
      </c>
      <c r="D22" s="41" t="s">
        <v>314</v>
      </c>
      <c r="E22" s="41" t="s">
        <v>35</v>
      </c>
      <c r="F22" s="41">
        <v>747934</v>
      </c>
      <c r="G22" s="42" t="s">
        <v>121</v>
      </c>
      <c r="H22" s="43">
        <v>5000</v>
      </c>
      <c r="I22" s="43"/>
      <c r="J22" s="43">
        <f t="shared" si="0"/>
        <v>5000</v>
      </c>
    </row>
    <row r="23" spans="1:10" ht="17.25" x14ac:dyDescent="0.25">
      <c r="A23" s="40">
        <v>45373</v>
      </c>
      <c r="B23" s="6" t="s">
        <v>54</v>
      </c>
      <c r="C23" s="6" t="s">
        <v>124</v>
      </c>
      <c r="D23" s="41"/>
      <c r="E23" s="41"/>
      <c r="F23" s="41"/>
      <c r="G23" s="42" t="s">
        <v>45</v>
      </c>
      <c r="H23" s="43"/>
      <c r="I23" s="43">
        <v>5000</v>
      </c>
      <c r="J23" s="43">
        <f t="shared" si="0"/>
        <v>0</v>
      </c>
    </row>
    <row r="24" spans="1:10" ht="17.25" x14ac:dyDescent="0.25">
      <c r="A24" s="40">
        <v>45469</v>
      </c>
      <c r="B24" s="6" t="s">
        <v>54</v>
      </c>
      <c r="C24" s="6" t="s">
        <v>124</v>
      </c>
      <c r="D24" s="41" t="s">
        <v>315</v>
      </c>
      <c r="E24" s="41" t="s">
        <v>35</v>
      </c>
      <c r="F24" s="41">
        <v>760734</v>
      </c>
      <c r="G24" s="42" t="s">
        <v>242</v>
      </c>
      <c r="H24" s="43">
        <v>5000</v>
      </c>
      <c r="I24" s="43">
        <v>5000</v>
      </c>
      <c r="J24" s="43">
        <f t="shared" si="0"/>
        <v>0</v>
      </c>
    </row>
    <row r="25" spans="1:10" ht="17.25" x14ac:dyDescent="0.25">
      <c r="A25" s="46">
        <v>45489</v>
      </c>
      <c r="B25" s="6" t="s">
        <v>54</v>
      </c>
      <c r="C25" s="6" t="s">
        <v>124</v>
      </c>
      <c r="D25" s="41" t="s">
        <v>316</v>
      </c>
      <c r="E25" s="41" t="s">
        <v>22</v>
      </c>
      <c r="F25" s="41">
        <v>715697</v>
      </c>
      <c r="G25" s="42" t="s">
        <v>261</v>
      </c>
      <c r="H25" s="43">
        <v>9600</v>
      </c>
      <c r="I25" s="43"/>
      <c r="J25" s="43">
        <f t="shared" si="0"/>
        <v>9600</v>
      </c>
    </row>
    <row r="26" spans="1:10" ht="17.25" x14ac:dyDescent="0.25">
      <c r="A26" s="40">
        <v>45505</v>
      </c>
      <c r="B26" s="6" t="s">
        <v>54</v>
      </c>
      <c r="C26" s="6" t="s">
        <v>124</v>
      </c>
      <c r="D26" s="41" t="s">
        <v>285</v>
      </c>
      <c r="E26" s="41" t="s">
        <v>22</v>
      </c>
      <c r="F26" s="41">
        <v>719792</v>
      </c>
      <c r="G26" s="42" t="s">
        <v>262</v>
      </c>
      <c r="H26" s="43">
        <v>7600</v>
      </c>
      <c r="I26" s="43"/>
      <c r="J26" s="43">
        <f t="shared" si="0"/>
        <v>17200</v>
      </c>
    </row>
    <row r="27" spans="1:10" ht="17.25" x14ac:dyDescent="0.25">
      <c r="A27" s="40">
        <v>45513</v>
      </c>
      <c r="B27" s="6" t="s">
        <v>54</v>
      </c>
      <c r="C27" s="6" t="s">
        <v>124</v>
      </c>
      <c r="D27" s="41" t="s">
        <v>317</v>
      </c>
      <c r="E27" s="41" t="s">
        <v>35</v>
      </c>
      <c r="F27" s="41">
        <v>766280</v>
      </c>
      <c r="G27" s="42" t="s">
        <v>263</v>
      </c>
      <c r="H27" s="43">
        <v>5000</v>
      </c>
      <c r="I27" s="43"/>
      <c r="J27" s="43">
        <f t="shared" si="0"/>
        <v>22200</v>
      </c>
    </row>
    <row r="28" spans="1:10" ht="17.25" x14ac:dyDescent="0.25">
      <c r="A28" s="40">
        <v>45516</v>
      </c>
      <c r="B28" s="6" t="s">
        <v>54</v>
      </c>
      <c r="C28" s="6" t="s">
        <v>124</v>
      </c>
      <c r="D28" s="41" t="s">
        <v>318</v>
      </c>
      <c r="E28" s="41" t="s">
        <v>22</v>
      </c>
      <c r="F28" s="41">
        <v>717637</v>
      </c>
      <c r="G28" s="42" t="s">
        <v>264</v>
      </c>
      <c r="H28" s="43">
        <v>9600</v>
      </c>
      <c r="I28" s="43"/>
      <c r="J28" s="43">
        <f t="shared" si="0"/>
        <v>31800</v>
      </c>
    </row>
    <row r="29" spans="1:10" ht="17.25" x14ac:dyDescent="0.25">
      <c r="A29" s="40">
        <v>45516</v>
      </c>
      <c r="B29" s="6" t="s">
        <v>54</v>
      </c>
      <c r="C29" s="6" t="s">
        <v>124</v>
      </c>
      <c r="D29" s="41"/>
      <c r="E29" s="41"/>
      <c r="F29" s="41"/>
      <c r="G29" s="42" t="s">
        <v>45</v>
      </c>
      <c r="H29" s="43"/>
      <c r="I29" s="43">
        <v>15000</v>
      </c>
      <c r="J29" s="43">
        <f t="shared" si="0"/>
        <v>16800</v>
      </c>
    </row>
    <row r="30" spans="1:10" ht="17.25" x14ac:dyDescent="0.25">
      <c r="A30" s="40">
        <v>45568</v>
      </c>
      <c r="B30" s="6" t="s">
        <v>54</v>
      </c>
      <c r="C30" s="6" t="s">
        <v>124</v>
      </c>
      <c r="D30" s="41"/>
      <c r="E30" s="41"/>
      <c r="F30" s="41"/>
      <c r="G30" s="42" t="s">
        <v>45</v>
      </c>
      <c r="H30" s="43"/>
      <c r="I30" s="43">
        <v>10000</v>
      </c>
      <c r="J30" s="43">
        <f t="shared" si="0"/>
        <v>6800</v>
      </c>
    </row>
    <row r="31" spans="1:10" ht="17.25" x14ac:dyDescent="0.25">
      <c r="A31" s="40">
        <v>45608</v>
      </c>
      <c r="B31" s="6" t="s">
        <v>54</v>
      </c>
      <c r="C31" s="6" t="s">
        <v>124</v>
      </c>
      <c r="D31" s="41" t="s">
        <v>318</v>
      </c>
      <c r="E31" s="41" t="s">
        <v>22</v>
      </c>
      <c r="F31" s="41">
        <v>642741</v>
      </c>
      <c r="G31" s="42" t="s">
        <v>265</v>
      </c>
      <c r="H31" s="43">
        <v>9600</v>
      </c>
      <c r="I31" s="43"/>
      <c r="J31" s="43">
        <f t="shared" si="0"/>
        <v>16400</v>
      </c>
    </row>
    <row r="32" spans="1:10" ht="17.25" x14ac:dyDescent="0.25">
      <c r="A32" s="40">
        <v>45612</v>
      </c>
      <c r="B32" s="6" t="s">
        <v>54</v>
      </c>
      <c r="C32" s="6" t="s">
        <v>124</v>
      </c>
      <c r="D32" s="41"/>
      <c r="E32" s="41"/>
      <c r="F32" s="41"/>
      <c r="G32" s="42" t="s">
        <v>45</v>
      </c>
      <c r="H32" s="43"/>
      <c r="I32" s="43">
        <v>10000</v>
      </c>
      <c r="J32" s="43">
        <f t="shared" si="0"/>
        <v>6400</v>
      </c>
    </row>
    <row r="33" spans="1:10" ht="17.25" x14ac:dyDescent="0.25">
      <c r="A33" s="40">
        <v>45631</v>
      </c>
      <c r="B33" s="6" t="s">
        <v>54</v>
      </c>
      <c r="C33" s="6" t="s">
        <v>124</v>
      </c>
      <c r="D33" s="41"/>
      <c r="E33" s="41"/>
      <c r="F33" s="41"/>
      <c r="G33" s="42" t="s">
        <v>266</v>
      </c>
      <c r="H33" s="43">
        <v>1400</v>
      </c>
      <c r="I33" s="43"/>
      <c r="J33" s="43">
        <f t="shared" si="0"/>
        <v>7800</v>
      </c>
    </row>
    <row r="34" spans="1:10" ht="17.25" x14ac:dyDescent="0.25">
      <c r="A34" s="40">
        <v>45631</v>
      </c>
      <c r="B34" s="6" t="s">
        <v>54</v>
      </c>
      <c r="C34" s="6" t="s">
        <v>124</v>
      </c>
      <c r="D34" s="41"/>
      <c r="E34" s="41"/>
      <c r="F34" s="41"/>
      <c r="G34" s="42" t="s">
        <v>267</v>
      </c>
      <c r="H34" s="43"/>
      <c r="I34" s="43">
        <v>5000</v>
      </c>
      <c r="J34" s="43">
        <f t="shared" si="0"/>
        <v>2800</v>
      </c>
    </row>
    <row r="35" spans="1:10" ht="17.25" x14ac:dyDescent="0.25">
      <c r="A35" s="40">
        <v>45775</v>
      </c>
      <c r="B35" s="6" t="s">
        <v>54</v>
      </c>
      <c r="C35" s="6" t="s">
        <v>124</v>
      </c>
      <c r="D35" s="41" t="s">
        <v>316</v>
      </c>
      <c r="E35" s="41"/>
      <c r="F35" s="41">
        <v>715697</v>
      </c>
      <c r="G35" s="42" t="s">
        <v>268</v>
      </c>
      <c r="H35" s="43">
        <v>0</v>
      </c>
      <c r="I35" s="43">
        <v>0</v>
      </c>
      <c r="J35" s="43">
        <f t="shared" si="0"/>
        <v>2800</v>
      </c>
    </row>
    <row r="36" spans="1:10" ht="17.25" x14ac:dyDescent="0.25">
      <c r="A36" s="40">
        <v>45777</v>
      </c>
      <c r="B36" s="6" t="s">
        <v>54</v>
      </c>
      <c r="C36" s="6" t="s">
        <v>124</v>
      </c>
      <c r="D36" s="41" t="s">
        <v>319</v>
      </c>
      <c r="E36" s="41" t="s">
        <v>35</v>
      </c>
      <c r="F36" s="41">
        <v>810484</v>
      </c>
      <c r="G36" s="42" t="s">
        <v>269</v>
      </c>
      <c r="H36" s="43">
        <v>5000</v>
      </c>
      <c r="I36" s="43"/>
      <c r="J36" s="43">
        <f t="shared" si="0"/>
        <v>7800</v>
      </c>
    </row>
    <row r="37" spans="1:10" ht="17.25" x14ac:dyDescent="0.25">
      <c r="A37" s="40">
        <v>45806</v>
      </c>
      <c r="B37" s="6" t="s">
        <v>54</v>
      </c>
      <c r="C37" s="6" t="s">
        <v>124</v>
      </c>
      <c r="D37" s="41" t="s">
        <v>307</v>
      </c>
      <c r="E37" s="41" t="s">
        <v>28</v>
      </c>
      <c r="F37" s="41">
        <v>692272</v>
      </c>
      <c r="G37" s="42" t="s">
        <v>270</v>
      </c>
      <c r="H37" s="43">
        <v>11000</v>
      </c>
      <c r="I37" s="43"/>
      <c r="J37" s="43">
        <f t="shared" si="0"/>
        <v>18800</v>
      </c>
    </row>
    <row r="38" spans="1:10" ht="17.25" x14ac:dyDescent="0.25">
      <c r="A38" s="40">
        <v>45806</v>
      </c>
      <c r="B38" s="6" t="s">
        <v>54</v>
      </c>
      <c r="C38" s="6" t="s">
        <v>124</v>
      </c>
      <c r="D38" s="41" t="s">
        <v>320</v>
      </c>
      <c r="E38" s="41" t="s">
        <v>22</v>
      </c>
      <c r="F38" s="41">
        <v>777518</v>
      </c>
      <c r="G38" s="42" t="s">
        <v>271</v>
      </c>
      <c r="H38" s="43">
        <v>9000</v>
      </c>
      <c r="I38" s="43"/>
      <c r="J38" s="43">
        <f t="shared" si="0"/>
        <v>27800</v>
      </c>
    </row>
    <row r="39" spans="1:10" ht="17.25" x14ac:dyDescent="0.25">
      <c r="A39" s="40">
        <v>45806</v>
      </c>
      <c r="B39" s="6" t="s">
        <v>54</v>
      </c>
      <c r="C39" s="6" t="s">
        <v>124</v>
      </c>
      <c r="D39" s="41"/>
      <c r="E39" s="41"/>
      <c r="F39" s="41"/>
      <c r="G39" s="42" t="s">
        <v>45</v>
      </c>
      <c r="H39" s="43"/>
      <c r="I39" s="43">
        <v>23600</v>
      </c>
      <c r="J39" s="43">
        <f t="shared" si="0"/>
        <v>4200</v>
      </c>
    </row>
    <row r="40" spans="1:10" ht="17.25" x14ac:dyDescent="0.25">
      <c r="A40" s="40">
        <v>45854</v>
      </c>
      <c r="B40" s="6" t="s">
        <v>54</v>
      </c>
      <c r="C40" s="6" t="s">
        <v>124</v>
      </c>
      <c r="D40" s="41" t="s">
        <v>308</v>
      </c>
      <c r="E40" s="41" t="s">
        <v>28</v>
      </c>
      <c r="F40" s="41">
        <v>678913</v>
      </c>
      <c r="G40" s="42" t="s">
        <v>272</v>
      </c>
      <c r="H40" s="43">
        <v>11000</v>
      </c>
      <c r="I40" s="43"/>
      <c r="J40" s="43">
        <f t="shared" si="0"/>
        <v>15200</v>
      </c>
    </row>
    <row r="41" spans="1:10" ht="17.25" x14ac:dyDescent="0.25">
      <c r="A41" s="40">
        <v>45854</v>
      </c>
      <c r="B41" s="6" t="s">
        <v>54</v>
      </c>
      <c r="C41" s="6" t="s">
        <v>124</v>
      </c>
      <c r="D41" s="41" t="s">
        <v>311</v>
      </c>
      <c r="E41" s="41" t="s">
        <v>22</v>
      </c>
      <c r="F41" s="41">
        <v>747084</v>
      </c>
      <c r="G41" s="42" t="s">
        <v>273</v>
      </c>
      <c r="H41" s="43">
        <v>9000</v>
      </c>
      <c r="I41" s="43"/>
      <c r="J41" s="43">
        <f t="shared" si="0"/>
        <v>24200</v>
      </c>
    </row>
    <row r="42" spans="1:10" ht="17.25" x14ac:dyDescent="0.25">
      <c r="A42" s="40">
        <v>45861</v>
      </c>
      <c r="B42" s="6" t="s">
        <v>54</v>
      </c>
      <c r="C42" s="6" t="s">
        <v>124</v>
      </c>
      <c r="D42" s="41" t="s">
        <v>321</v>
      </c>
      <c r="E42" s="41" t="s">
        <v>22</v>
      </c>
      <c r="F42" s="41">
        <v>723436</v>
      </c>
      <c r="G42" s="42" t="s">
        <v>274</v>
      </c>
      <c r="H42" s="43">
        <v>9600</v>
      </c>
      <c r="I42" s="43"/>
      <c r="J42" s="43">
        <f t="shared" si="0"/>
        <v>33800</v>
      </c>
    </row>
    <row r="43" spans="1:10" ht="17.25" x14ac:dyDescent="0.25">
      <c r="A43" s="40">
        <v>45866</v>
      </c>
      <c r="B43" s="6" t="s">
        <v>54</v>
      </c>
      <c r="C43" s="6" t="s">
        <v>124</v>
      </c>
      <c r="D43" s="41"/>
      <c r="E43" s="41"/>
      <c r="F43" s="41"/>
      <c r="G43" s="42" t="s">
        <v>45</v>
      </c>
      <c r="H43" s="43"/>
      <c r="I43" s="43">
        <v>10000</v>
      </c>
      <c r="J43" s="43">
        <f t="shared" si="0"/>
        <v>23800</v>
      </c>
    </row>
    <row r="44" spans="1:10" ht="17.25" x14ac:dyDescent="0.25">
      <c r="A44" s="40">
        <v>45881</v>
      </c>
      <c r="B44" s="6" t="s">
        <v>54</v>
      </c>
      <c r="C44" s="6" t="s">
        <v>124</v>
      </c>
      <c r="D44" s="41" t="s">
        <v>275</v>
      </c>
      <c r="E44" s="41" t="s">
        <v>28</v>
      </c>
      <c r="F44" s="41">
        <v>688070</v>
      </c>
      <c r="G44" s="42" t="s">
        <v>276</v>
      </c>
      <c r="H44" s="43">
        <v>10000</v>
      </c>
      <c r="I44" s="43"/>
      <c r="J44" s="43">
        <f t="shared" si="0"/>
        <v>33800</v>
      </c>
    </row>
    <row r="45" spans="1:10" ht="17.25" x14ac:dyDescent="0.25">
      <c r="A45" s="40">
        <v>45881</v>
      </c>
      <c r="B45" s="6" t="s">
        <v>54</v>
      </c>
      <c r="C45" s="6" t="s">
        <v>124</v>
      </c>
      <c r="D45" s="41"/>
      <c r="E45" s="41"/>
      <c r="F45" s="41"/>
      <c r="G45" s="42" t="s">
        <v>45</v>
      </c>
      <c r="H45" s="43"/>
      <c r="I45" s="43">
        <v>15000</v>
      </c>
      <c r="J45" s="43">
        <f t="shared" si="0"/>
        <v>18800</v>
      </c>
    </row>
    <row r="46" spans="1:10" ht="17.25" x14ac:dyDescent="0.25">
      <c r="A46" s="40">
        <v>45897</v>
      </c>
      <c r="B46" s="6" t="s">
        <v>54</v>
      </c>
      <c r="C46" s="6" t="s">
        <v>124</v>
      </c>
      <c r="D46" s="41" t="s">
        <v>277</v>
      </c>
      <c r="E46" s="41" t="s">
        <v>35</v>
      </c>
      <c r="F46" s="41">
        <v>831901</v>
      </c>
      <c r="G46" s="42" t="s">
        <v>278</v>
      </c>
      <c r="H46" s="43">
        <v>5000</v>
      </c>
      <c r="I46" s="43"/>
      <c r="J46" s="43">
        <f t="shared" si="0"/>
        <v>23800</v>
      </c>
    </row>
    <row r="47" spans="1:10" ht="17.25" x14ac:dyDescent="0.25">
      <c r="A47" s="40">
        <v>45904</v>
      </c>
      <c r="B47" s="6" t="s">
        <v>54</v>
      </c>
      <c r="C47" s="6" t="s">
        <v>124</v>
      </c>
      <c r="D47" s="41" t="s">
        <v>279</v>
      </c>
      <c r="E47" s="41" t="s">
        <v>35</v>
      </c>
      <c r="F47" s="41">
        <v>834568</v>
      </c>
      <c r="G47" s="42" t="s">
        <v>280</v>
      </c>
      <c r="H47" s="43">
        <v>5000</v>
      </c>
      <c r="I47" s="43"/>
      <c r="J47" s="43">
        <f t="shared" si="0"/>
        <v>28800</v>
      </c>
    </row>
    <row r="48" spans="1:10" ht="17.25" x14ac:dyDescent="0.25">
      <c r="A48" s="40">
        <v>45904</v>
      </c>
      <c r="B48" s="6" t="s">
        <v>54</v>
      </c>
      <c r="C48" s="6" t="s">
        <v>124</v>
      </c>
      <c r="D48" s="41" t="s">
        <v>281</v>
      </c>
      <c r="E48" s="41" t="s">
        <v>35</v>
      </c>
      <c r="F48" s="41">
        <v>834569</v>
      </c>
      <c r="G48" s="42" t="s">
        <v>282</v>
      </c>
      <c r="H48" s="43">
        <v>5000</v>
      </c>
      <c r="I48" s="43"/>
      <c r="J48" s="43">
        <f t="shared" si="0"/>
        <v>33800</v>
      </c>
    </row>
    <row r="49" spans="1:10" ht="17.25" x14ac:dyDescent="0.25">
      <c r="A49" s="40">
        <v>45904</v>
      </c>
      <c r="B49" s="6" t="s">
        <v>54</v>
      </c>
      <c r="C49" s="6" t="s">
        <v>124</v>
      </c>
      <c r="D49" s="41"/>
      <c r="E49" s="41"/>
      <c r="F49" s="41"/>
      <c r="G49" s="42" t="s">
        <v>45</v>
      </c>
      <c r="H49" s="43"/>
      <c r="I49" s="43">
        <v>20000</v>
      </c>
      <c r="J49" s="43">
        <f t="shared" si="0"/>
        <v>13800</v>
      </c>
    </row>
    <row r="50" spans="1:10" ht="17.25" x14ac:dyDescent="0.25">
      <c r="A50" s="40">
        <v>45937</v>
      </c>
      <c r="B50" s="6" t="s">
        <v>54</v>
      </c>
      <c r="C50" s="6" t="s">
        <v>124</v>
      </c>
      <c r="D50" s="41" t="s">
        <v>283</v>
      </c>
      <c r="E50" s="41" t="s">
        <v>35</v>
      </c>
      <c r="F50" s="41"/>
      <c r="G50" s="42" t="s">
        <v>284</v>
      </c>
      <c r="H50" s="43">
        <v>5000</v>
      </c>
      <c r="I50" s="43"/>
      <c r="J50" s="43">
        <f t="shared" si="0"/>
        <v>18800</v>
      </c>
    </row>
    <row r="51" spans="1:10" ht="17.25" x14ac:dyDescent="0.25">
      <c r="A51" s="40">
        <v>45941</v>
      </c>
      <c r="B51" s="6" t="s">
        <v>54</v>
      </c>
      <c r="C51" s="6" t="s">
        <v>124</v>
      </c>
      <c r="D51" s="41" t="s">
        <v>285</v>
      </c>
      <c r="E51" s="41" t="s">
        <v>28</v>
      </c>
      <c r="F51" s="41">
        <v>719792</v>
      </c>
      <c r="G51" s="42" t="s">
        <v>262</v>
      </c>
      <c r="H51" s="43">
        <v>11000</v>
      </c>
      <c r="I51" s="43"/>
      <c r="J51" s="43">
        <f t="shared" si="0"/>
        <v>29800</v>
      </c>
    </row>
    <row r="52" spans="1:10" ht="17.25" x14ac:dyDescent="0.25">
      <c r="A52" s="40">
        <v>45941</v>
      </c>
      <c r="B52" s="6" t="s">
        <v>54</v>
      </c>
      <c r="C52" s="6" t="s">
        <v>124</v>
      </c>
      <c r="D52" s="41" t="s">
        <v>285</v>
      </c>
      <c r="E52" s="41" t="s">
        <v>28</v>
      </c>
      <c r="F52" s="41">
        <v>719792</v>
      </c>
      <c r="G52" s="42" t="s">
        <v>45</v>
      </c>
      <c r="H52" s="43"/>
      <c r="I52" s="43">
        <v>20000</v>
      </c>
      <c r="J52" s="43">
        <f t="shared" si="0"/>
        <v>9800</v>
      </c>
    </row>
    <row r="53" spans="1:10" ht="17.25" x14ac:dyDescent="0.25">
      <c r="A53" s="40">
        <v>46007</v>
      </c>
      <c r="B53" s="6" t="s">
        <v>54</v>
      </c>
      <c r="C53" s="6" t="s">
        <v>124</v>
      </c>
      <c r="D53" s="41" t="s">
        <v>286</v>
      </c>
      <c r="E53" s="41" t="s">
        <v>35</v>
      </c>
      <c r="F53" s="41"/>
      <c r="G53" s="42" t="s">
        <v>287</v>
      </c>
      <c r="H53" s="43">
        <v>4500</v>
      </c>
      <c r="I53" s="43"/>
      <c r="J53" s="43">
        <f t="shared" si="0"/>
        <v>14300</v>
      </c>
    </row>
    <row r="54" spans="1:10" ht="17.25" x14ac:dyDescent="0.25">
      <c r="A54" s="40">
        <v>46007</v>
      </c>
      <c r="B54" s="6" t="s">
        <v>54</v>
      </c>
      <c r="C54" s="6" t="s">
        <v>124</v>
      </c>
      <c r="D54" s="41" t="s">
        <v>288</v>
      </c>
      <c r="E54" s="41" t="s">
        <v>35</v>
      </c>
      <c r="F54" s="41"/>
      <c r="G54" s="42" t="s">
        <v>289</v>
      </c>
      <c r="H54" s="43">
        <v>4500</v>
      </c>
      <c r="I54" s="43"/>
      <c r="J54" s="43">
        <f t="shared" si="0"/>
        <v>18800</v>
      </c>
    </row>
    <row r="55" spans="1:10" ht="17.25" x14ac:dyDescent="0.25">
      <c r="A55" s="40">
        <v>46007</v>
      </c>
      <c r="B55" s="6" t="s">
        <v>54</v>
      </c>
      <c r="C55" s="6" t="s">
        <v>124</v>
      </c>
      <c r="D55" s="41"/>
      <c r="E55" s="41"/>
      <c r="F55" s="41"/>
      <c r="G55" s="42" t="s">
        <v>45</v>
      </c>
      <c r="H55" s="43"/>
      <c r="I55" s="43">
        <v>18800</v>
      </c>
      <c r="J55" s="43">
        <f t="shared" si="0"/>
        <v>0</v>
      </c>
    </row>
    <row r="56" spans="1:10" ht="17.25" x14ac:dyDescent="0.25">
      <c r="A56" s="40">
        <v>46010</v>
      </c>
      <c r="B56" s="6" t="s">
        <v>54</v>
      </c>
      <c r="C56" s="6" t="s">
        <v>124</v>
      </c>
      <c r="D56" s="41" t="s">
        <v>290</v>
      </c>
      <c r="E56" s="41" t="s">
        <v>35</v>
      </c>
      <c r="F56" s="41"/>
      <c r="G56" s="42" t="s">
        <v>291</v>
      </c>
      <c r="H56" s="43">
        <v>4500</v>
      </c>
      <c r="I56" s="43"/>
      <c r="J56" s="43">
        <f t="shared" si="0"/>
        <v>4500</v>
      </c>
    </row>
    <row r="57" spans="1:10" ht="17.25" x14ac:dyDescent="0.25">
      <c r="A57" s="40">
        <v>46030</v>
      </c>
      <c r="B57" s="6" t="s">
        <v>54</v>
      </c>
      <c r="C57" s="6" t="s">
        <v>124</v>
      </c>
      <c r="D57" s="41" t="s">
        <v>292</v>
      </c>
      <c r="E57" s="41" t="s">
        <v>35</v>
      </c>
      <c r="F57" s="41"/>
      <c r="G57" s="42" t="s">
        <v>293</v>
      </c>
      <c r="H57" s="43">
        <v>4500</v>
      </c>
      <c r="I57" s="43"/>
      <c r="J57" s="43">
        <f t="shared" si="0"/>
        <v>9000</v>
      </c>
    </row>
    <row r="58" spans="1:10" ht="17.25" x14ac:dyDescent="0.25">
      <c r="A58" s="40">
        <v>46035</v>
      </c>
      <c r="B58" s="6" t="s">
        <v>54</v>
      </c>
      <c r="C58" s="6" t="s">
        <v>124</v>
      </c>
      <c r="D58" s="41" t="s">
        <v>294</v>
      </c>
      <c r="E58" s="41" t="s">
        <v>28</v>
      </c>
      <c r="F58" s="41">
        <v>679149</v>
      </c>
      <c r="G58" s="42" t="s">
        <v>295</v>
      </c>
      <c r="H58" s="43">
        <v>11000</v>
      </c>
      <c r="I58" s="43"/>
      <c r="J58" s="43">
        <f t="shared" si="0"/>
        <v>20000</v>
      </c>
    </row>
    <row r="59" spans="1:10" ht="17.25" x14ac:dyDescent="0.25">
      <c r="A59" s="40">
        <v>46035</v>
      </c>
      <c r="B59" s="6" t="s">
        <v>54</v>
      </c>
      <c r="C59" s="6" t="s">
        <v>124</v>
      </c>
      <c r="D59" s="41"/>
      <c r="E59" s="41"/>
      <c r="F59" s="41"/>
      <c r="G59" s="42" t="s">
        <v>45</v>
      </c>
      <c r="H59" s="43"/>
      <c r="I59" s="43">
        <v>15000</v>
      </c>
      <c r="J59" s="43">
        <f t="shared" si="0"/>
        <v>5000</v>
      </c>
    </row>
    <row r="60" spans="1:10" ht="17.25" x14ac:dyDescent="0.25">
      <c r="A60" s="40">
        <v>46036</v>
      </c>
      <c r="B60" s="6" t="s">
        <v>54</v>
      </c>
      <c r="C60" s="6" t="s">
        <v>124</v>
      </c>
      <c r="D60" s="41" t="s">
        <v>296</v>
      </c>
      <c r="E60" s="41" t="s">
        <v>35</v>
      </c>
      <c r="F60" s="41"/>
      <c r="G60" s="42" t="s">
        <v>297</v>
      </c>
      <c r="H60" s="43">
        <v>4500</v>
      </c>
      <c r="I60" s="43"/>
      <c r="J60" s="43">
        <f t="shared" si="0"/>
        <v>9500</v>
      </c>
    </row>
    <row r="61" spans="1:10" ht="17.25" x14ac:dyDescent="0.25">
      <c r="A61" s="40">
        <v>46046</v>
      </c>
      <c r="B61" s="6" t="s">
        <v>54</v>
      </c>
      <c r="C61" s="6" t="s">
        <v>124</v>
      </c>
      <c r="D61" s="41" t="s">
        <v>298</v>
      </c>
      <c r="E61" s="41" t="s">
        <v>22</v>
      </c>
      <c r="F61" s="41">
        <v>811979</v>
      </c>
      <c r="G61" s="42" t="s">
        <v>299</v>
      </c>
      <c r="H61" s="43">
        <v>9600</v>
      </c>
      <c r="I61" s="43"/>
      <c r="J61" s="43">
        <f t="shared" si="0"/>
        <v>19100</v>
      </c>
    </row>
    <row r="62" spans="1:10" ht="17.25" x14ac:dyDescent="0.25">
      <c r="A62" s="40">
        <v>46046</v>
      </c>
      <c r="B62" s="6" t="s">
        <v>54</v>
      </c>
      <c r="C62" s="6" t="s">
        <v>124</v>
      </c>
      <c r="D62" s="41" t="s">
        <v>277</v>
      </c>
      <c r="E62" s="41" t="s">
        <v>22</v>
      </c>
      <c r="F62" s="41">
        <v>831901</v>
      </c>
      <c r="G62" s="42" t="s">
        <v>278</v>
      </c>
      <c r="H62" s="43">
        <v>9600</v>
      </c>
      <c r="I62" s="43"/>
      <c r="J62" s="43">
        <f t="shared" si="0"/>
        <v>28700</v>
      </c>
    </row>
    <row r="63" spans="1:10" ht="17.25" x14ac:dyDescent="0.25">
      <c r="A63" s="40">
        <v>46048</v>
      </c>
      <c r="B63" s="6" t="s">
        <v>54</v>
      </c>
      <c r="C63" s="6" t="s">
        <v>124</v>
      </c>
      <c r="D63" s="41"/>
      <c r="E63" s="41"/>
      <c r="F63" s="41"/>
      <c r="G63" s="42" t="s">
        <v>45</v>
      </c>
      <c r="H63" s="43"/>
      <c r="I63" s="43">
        <v>14000</v>
      </c>
      <c r="J63" s="43">
        <f t="shared" si="0"/>
        <v>14700</v>
      </c>
    </row>
    <row r="64" spans="1:10" ht="17.25" x14ac:dyDescent="0.25">
      <c r="A64" s="40">
        <v>46087</v>
      </c>
      <c r="B64" s="6" t="s">
        <v>54</v>
      </c>
      <c r="C64" s="6" t="s">
        <v>124</v>
      </c>
      <c r="D64" s="41" t="s">
        <v>322</v>
      </c>
      <c r="E64" s="41" t="s">
        <v>22</v>
      </c>
      <c r="F64" s="41">
        <v>838869</v>
      </c>
      <c r="G64" s="42" t="s">
        <v>300</v>
      </c>
      <c r="H64" s="43">
        <v>9600</v>
      </c>
      <c r="I64" s="43"/>
      <c r="J64" s="43">
        <f t="shared" si="0"/>
        <v>24300</v>
      </c>
    </row>
    <row r="65" spans="1:10" ht="17.25" x14ac:dyDescent="0.25">
      <c r="A65" s="40">
        <v>46088</v>
      </c>
      <c r="B65" s="6" t="s">
        <v>54</v>
      </c>
      <c r="C65" s="6" t="s">
        <v>124</v>
      </c>
      <c r="D65" s="41" t="s">
        <v>323</v>
      </c>
      <c r="E65" s="41" t="s">
        <v>35</v>
      </c>
      <c r="F65" s="41"/>
      <c r="G65" s="42" t="s">
        <v>301</v>
      </c>
      <c r="H65" s="43">
        <v>4500</v>
      </c>
      <c r="I65" s="43"/>
      <c r="J65" s="43">
        <f t="shared" si="0"/>
        <v>28800</v>
      </c>
    </row>
    <row r="66" spans="1:10" ht="17.25" x14ac:dyDescent="0.25">
      <c r="A66" s="40">
        <v>46088</v>
      </c>
      <c r="B66" s="6" t="s">
        <v>54</v>
      </c>
      <c r="C66" s="6" t="s">
        <v>124</v>
      </c>
      <c r="D66" s="41"/>
      <c r="E66" s="41"/>
      <c r="F66" s="41"/>
      <c r="G66" s="42" t="s">
        <v>45</v>
      </c>
      <c r="H66" s="43"/>
      <c r="I66" s="43">
        <v>15000</v>
      </c>
      <c r="J66" s="43">
        <f t="shared" si="0"/>
        <v>13800</v>
      </c>
    </row>
    <row r="67" spans="1:10" ht="17.25" x14ac:dyDescent="0.25">
      <c r="A67" s="40">
        <v>46095</v>
      </c>
      <c r="B67" s="6" t="s">
        <v>54</v>
      </c>
      <c r="C67" s="6" t="s">
        <v>124</v>
      </c>
      <c r="D67" s="41" t="s">
        <v>324</v>
      </c>
      <c r="E67" s="41" t="s">
        <v>35</v>
      </c>
      <c r="F67" s="41"/>
      <c r="G67" s="42" t="s">
        <v>302</v>
      </c>
      <c r="H67" s="43">
        <v>4500</v>
      </c>
      <c r="I67" s="43"/>
      <c r="J67" s="43">
        <f t="shared" si="0"/>
        <v>18300</v>
      </c>
    </row>
    <row r="68" spans="1:10" ht="17.25" x14ac:dyDescent="0.25">
      <c r="A68" s="40">
        <v>46113</v>
      </c>
      <c r="B68" s="6" t="s">
        <v>54</v>
      </c>
      <c r="C68" s="6" t="s">
        <v>124</v>
      </c>
      <c r="D68" s="41"/>
      <c r="E68" s="41"/>
      <c r="F68" s="41"/>
      <c r="G68" s="42" t="s">
        <v>303</v>
      </c>
      <c r="H68" s="43"/>
      <c r="I68" s="43">
        <v>10000</v>
      </c>
      <c r="J68" s="43">
        <f t="shared" si="0"/>
        <v>8300</v>
      </c>
    </row>
    <row r="69" spans="1:10" ht="17.25" x14ac:dyDescent="0.25">
      <c r="A69" s="40">
        <v>46113</v>
      </c>
      <c r="B69" s="6" t="s">
        <v>54</v>
      </c>
      <c r="C69" s="6" t="s">
        <v>124</v>
      </c>
      <c r="D69" s="41" t="s">
        <v>304</v>
      </c>
      <c r="E69" s="41" t="s">
        <v>305</v>
      </c>
      <c r="F69" s="41">
        <v>832186</v>
      </c>
      <c r="G69" s="42" t="s">
        <v>306</v>
      </c>
      <c r="H69" s="43">
        <v>10600</v>
      </c>
      <c r="I69" s="43"/>
      <c r="J69" s="43">
        <f t="shared" si="0"/>
        <v>18900</v>
      </c>
    </row>
    <row r="70" spans="1:10" ht="17.25" x14ac:dyDescent="0.25">
      <c r="A70" s="40">
        <v>46113</v>
      </c>
      <c r="B70" s="6" t="s">
        <v>54</v>
      </c>
      <c r="C70" s="6" t="s">
        <v>124</v>
      </c>
      <c r="D70" s="41" t="s">
        <v>296</v>
      </c>
      <c r="E70" s="41" t="s">
        <v>22</v>
      </c>
      <c r="F70" s="41">
        <v>859447</v>
      </c>
      <c r="G70" s="42" t="s">
        <v>297</v>
      </c>
      <c r="H70" s="43">
        <v>9600</v>
      </c>
      <c r="I70" s="43"/>
      <c r="J70" s="43">
        <f t="shared" si="0"/>
        <v>28500</v>
      </c>
    </row>
    <row r="71" spans="1:10" ht="17.25" x14ac:dyDescent="0.25">
      <c r="A71" s="47"/>
      <c r="B71" s="6" t="s">
        <v>55</v>
      </c>
      <c r="C71" s="56" t="s">
        <v>243</v>
      </c>
      <c r="D71" s="48" t="s">
        <v>529</v>
      </c>
      <c r="E71" s="48" t="s">
        <v>35</v>
      </c>
      <c r="F71" s="48"/>
      <c r="G71" s="49" t="s">
        <v>325</v>
      </c>
      <c r="H71" s="50">
        <v>6000</v>
      </c>
      <c r="I71" s="50"/>
      <c r="J71" s="50">
        <f>IF(AND(H71="", I71=""), "", H71 - I71)</f>
        <v>6000</v>
      </c>
    </row>
    <row r="72" spans="1:10" ht="17.25" x14ac:dyDescent="0.25">
      <c r="A72" s="51"/>
      <c r="B72" s="6" t="s">
        <v>55</v>
      </c>
      <c r="C72" s="56" t="s">
        <v>243</v>
      </c>
      <c r="D72" s="52" t="s">
        <v>529</v>
      </c>
      <c r="E72" s="48" t="s">
        <v>35</v>
      </c>
      <c r="F72" s="48"/>
      <c r="G72" s="49" t="s">
        <v>325</v>
      </c>
      <c r="H72" s="50">
        <v>6000</v>
      </c>
      <c r="I72" s="50"/>
      <c r="J72" s="50">
        <f t="shared" ref="J72:J135" si="1">IF(AND(H72="", I72=""), "", J71 + H72 - I72)</f>
        <v>12000</v>
      </c>
    </row>
    <row r="73" spans="1:10" ht="17.25" x14ac:dyDescent="0.25">
      <c r="A73" s="51"/>
      <c r="B73" s="6" t="s">
        <v>55</v>
      </c>
      <c r="C73" s="56" t="s">
        <v>243</v>
      </c>
      <c r="D73" s="52" t="s">
        <v>470</v>
      </c>
      <c r="E73" s="48" t="s">
        <v>35</v>
      </c>
      <c r="F73" s="48"/>
      <c r="G73" s="49" t="s">
        <v>326</v>
      </c>
      <c r="H73" s="50">
        <v>6000</v>
      </c>
      <c r="I73" s="50"/>
      <c r="J73" s="50">
        <f t="shared" si="1"/>
        <v>18000</v>
      </c>
    </row>
    <row r="74" spans="1:10" ht="17.25" x14ac:dyDescent="0.25">
      <c r="A74" s="51"/>
      <c r="B74" s="6" t="s">
        <v>55</v>
      </c>
      <c r="C74" s="56" t="s">
        <v>243</v>
      </c>
      <c r="D74" s="52" t="s">
        <v>471</v>
      </c>
      <c r="E74" s="48" t="s">
        <v>35</v>
      </c>
      <c r="F74" s="48"/>
      <c r="G74" s="49" t="s">
        <v>327</v>
      </c>
      <c r="H74" s="50">
        <v>0</v>
      </c>
      <c r="I74" s="50"/>
      <c r="J74" s="50">
        <f t="shared" si="1"/>
        <v>18000</v>
      </c>
    </row>
    <row r="75" spans="1:10" ht="17.25" x14ac:dyDescent="0.25">
      <c r="A75" s="47"/>
      <c r="B75" s="6" t="s">
        <v>55</v>
      </c>
      <c r="C75" s="56" t="s">
        <v>243</v>
      </c>
      <c r="D75" s="48" t="s">
        <v>472</v>
      </c>
      <c r="E75" s="48" t="s">
        <v>35</v>
      </c>
      <c r="F75" s="48"/>
      <c r="G75" s="49" t="s">
        <v>328</v>
      </c>
      <c r="H75" s="50">
        <v>6000</v>
      </c>
      <c r="I75" s="50"/>
      <c r="J75" s="50">
        <f t="shared" si="1"/>
        <v>24000</v>
      </c>
    </row>
    <row r="76" spans="1:10" ht="17.25" x14ac:dyDescent="0.25">
      <c r="A76" s="47"/>
      <c r="B76" s="6" t="s">
        <v>55</v>
      </c>
      <c r="C76" s="56" t="s">
        <v>243</v>
      </c>
      <c r="D76" s="48" t="s">
        <v>473</v>
      </c>
      <c r="E76" s="48" t="s">
        <v>22</v>
      </c>
      <c r="F76" s="48"/>
      <c r="G76" s="49" t="s">
        <v>329</v>
      </c>
      <c r="H76" s="50">
        <v>6000</v>
      </c>
      <c r="I76" s="50"/>
      <c r="J76" s="50">
        <f t="shared" si="1"/>
        <v>30000</v>
      </c>
    </row>
    <row r="77" spans="1:10" ht="17.25" x14ac:dyDescent="0.25">
      <c r="A77" s="47"/>
      <c r="B77" s="6" t="s">
        <v>55</v>
      </c>
      <c r="C77" s="56" t="s">
        <v>243</v>
      </c>
      <c r="D77" s="48" t="s">
        <v>474</v>
      </c>
      <c r="E77" s="48" t="s">
        <v>35</v>
      </c>
      <c r="F77" s="48"/>
      <c r="G77" s="49" t="s">
        <v>330</v>
      </c>
      <c r="H77" s="50">
        <v>6000</v>
      </c>
      <c r="I77" s="50"/>
      <c r="J77" s="50">
        <f t="shared" si="1"/>
        <v>36000</v>
      </c>
    </row>
    <row r="78" spans="1:10" ht="17.25" x14ac:dyDescent="0.25">
      <c r="A78" s="47"/>
      <c r="B78" s="6" t="s">
        <v>55</v>
      </c>
      <c r="C78" s="56" t="s">
        <v>243</v>
      </c>
      <c r="D78" s="48" t="s">
        <v>475</v>
      </c>
      <c r="E78" s="48" t="s">
        <v>22</v>
      </c>
      <c r="F78" s="48"/>
      <c r="G78" s="49" t="s">
        <v>331</v>
      </c>
      <c r="H78" s="50">
        <v>6000</v>
      </c>
      <c r="I78" s="50"/>
      <c r="J78" s="50">
        <f t="shared" si="1"/>
        <v>42000</v>
      </c>
    </row>
    <row r="79" spans="1:10" ht="17.25" x14ac:dyDescent="0.25">
      <c r="A79" s="47"/>
      <c r="B79" s="6" t="s">
        <v>55</v>
      </c>
      <c r="C79" s="56" t="s">
        <v>243</v>
      </c>
      <c r="D79" s="48" t="s">
        <v>476</v>
      </c>
      <c r="E79" s="48" t="s">
        <v>28</v>
      </c>
      <c r="F79" s="48"/>
      <c r="G79" s="49" t="s">
        <v>332</v>
      </c>
      <c r="H79" s="50">
        <v>9000</v>
      </c>
      <c r="I79" s="50"/>
      <c r="J79" s="50">
        <f t="shared" si="1"/>
        <v>51000</v>
      </c>
    </row>
    <row r="80" spans="1:10" ht="17.25" x14ac:dyDescent="0.25">
      <c r="A80" s="47"/>
      <c r="B80" s="6" t="s">
        <v>55</v>
      </c>
      <c r="C80" s="56" t="s">
        <v>243</v>
      </c>
      <c r="D80" s="48" t="s">
        <v>477</v>
      </c>
      <c r="E80" s="48" t="s">
        <v>35</v>
      </c>
      <c r="F80" s="48"/>
      <c r="G80" s="49" t="s">
        <v>333</v>
      </c>
      <c r="H80" s="50">
        <v>6000</v>
      </c>
      <c r="I80" s="50"/>
      <c r="J80" s="50">
        <f t="shared" si="1"/>
        <v>57000</v>
      </c>
    </row>
    <row r="81" spans="1:10" ht="17.25" x14ac:dyDescent="0.25">
      <c r="A81" s="47"/>
      <c r="B81" s="6" t="s">
        <v>55</v>
      </c>
      <c r="C81" s="56" t="s">
        <v>243</v>
      </c>
      <c r="D81" s="48" t="s">
        <v>478</v>
      </c>
      <c r="E81" s="48" t="s">
        <v>22</v>
      </c>
      <c r="F81" s="48"/>
      <c r="G81" s="49" t="s">
        <v>334</v>
      </c>
      <c r="H81" s="50">
        <v>6000</v>
      </c>
      <c r="I81" s="50"/>
      <c r="J81" s="50">
        <f t="shared" si="1"/>
        <v>63000</v>
      </c>
    </row>
    <row r="82" spans="1:10" ht="17.25" x14ac:dyDescent="0.25">
      <c r="A82" s="47"/>
      <c r="B82" s="6" t="s">
        <v>55</v>
      </c>
      <c r="C82" s="56" t="s">
        <v>243</v>
      </c>
      <c r="D82" s="48" t="s">
        <v>479</v>
      </c>
      <c r="E82" s="48" t="s">
        <v>35</v>
      </c>
      <c r="F82" s="48"/>
      <c r="G82" s="49" t="s">
        <v>335</v>
      </c>
      <c r="H82" s="50">
        <v>6000</v>
      </c>
      <c r="I82" s="50"/>
      <c r="J82" s="50">
        <f t="shared" si="1"/>
        <v>69000</v>
      </c>
    </row>
    <row r="83" spans="1:10" ht="17.25" x14ac:dyDescent="0.25">
      <c r="A83" s="47"/>
      <c r="B83" s="6" t="s">
        <v>55</v>
      </c>
      <c r="C83" s="56" t="s">
        <v>243</v>
      </c>
      <c r="D83" s="48" t="s">
        <v>480</v>
      </c>
      <c r="E83" s="48" t="s">
        <v>22</v>
      </c>
      <c r="F83" s="48"/>
      <c r="G83" s="49" t="s">
        <v>336</v>
      </c>
      <c r="H83" s="50">
        <v>6000</v>
      </c>
      <c r="I83" s="50"/>
      <c r="J83" s="50">
        <f t="shared" si="1"/>
        <v>75000</v>
      </c>
    </row>
    <row r="84" spans="1:10" ht="17.25" x14ac:dyDescent="0.25">
      <c r="A84" s="47"/>
      <c r="B84" s="6" t="s">
        <v>55</v>
      </c>
      <c r="C84" s="56" t="s">
        <v>243</v>
      </c>
      <c r="D84" s="48" t="s">
        <v>481</v>
      </c>
      <c r="E84" s="48" t="s">
        <v>35</v>
      </c>
      <c r="F84" s="48"/>
      <c r="G84" s="49" t="s">
        <v>337</v>
      </c>
      <c r="H84" s="50">
        <v>6000</v>
      </c>
      <c r="I84" s="50"/>
      <c r="J84" s="50">
        <f t="shared" si="1"/>
        <v>81000</v>
      </c>
    </row>
    <row r="85" spans="1:10" ht="17.25" x14ac:dyDescent="0.25">
      <c r="A85" s="48"/>
      <c r="B85" s="6" t="s">
        <v>55</v>
      </c>
      <c r="C85" s="56" t="s">
        <v>243</v>
      </c>
      <c r="D85" s="48" t="s">
        <v>482</v>
      </c>
      <c r="E85" s="48" t="s">
        <v>35</v>
      </c>
      <c r="F85" s="48"/>
      <c r="G85" s="49" t="s">
        <v>338</v>
      </c>
      <c r="H85" s="50">
        <v>6000</v>
      </c>
      <c r="I85" s="50"/>
      <c r="J85" s="50">
        <f t="shared" si="1"/>
        <v>87000</v>
      </c>
    </row>
    <row r="86" spans="1:10" ht="17.25" x14ac:dyDescent="0.25">
      <c r="A86" s="47"/>
      <c r="B86" s="6" t="s">
        <v>55</v>
      </c>
      <c r="C86" s="56" t="s">
        <v>243</v>
      </c>
      <c r="D86" s="48" t="s">
        <v>483</v>
      </c>
      <c r="E86" s="48" t="s">
        <v>35</v>
      </c>
      <c r="F86" s="48"/>
      <c r="G86" s="49" t="s">
        <v>338</v>
      </c>
      <c r="H86" s="50">
        <v>6000</v>
      </c>
      <c r="I86" s="50"/>
      <c r="J86" s="50">
        <f t="shared" si="1"/>
        <v>93000</v>
      </c>
    </row>
    <row r="87" spans="1:10" ht="17.25" x14ac:dyDescent="0.25">
      <c r="A87" s="47"/>
      <c r="B87" s="6" t="s">
        <v>55</v>
      </c>
      <c r="C87" s="56" t="s">
        <v>243</v>
      </c>
      <c r="D87" s="48" t="s">
        <v>484</v>
      </c>
      <c r="E87" s="48" t="s">
        <v>35</v>
      </c>
      <c r="F87" s="48"/>
      <c r="G87" s="49" t="s">
        <v>339</v>
      </c>
      <c r="H87" s="50">
        <v>6000</v>
      </c>
      <c r="I87" s="50"/>
      <c r="J87" s="50">
        <f t="shared" si="1"/>
        <v>99000</v>
      </c>
    </row>
    <row r="88" spans="1:10" ht="17.25" x14ac:dyDescent="0.25">
      <c r="A88" s="47"/>
      <c r="B88" s="6" t="s">
        <v>55</v>
      </c>
      <c r="C88" s="56" t="s">
        <v>243</v>
      </c>
      <c r="D88" s="48" t="s">
        <v>485</v>
      </c>
      <c r="E88" s="48" t="s">
        <v>35</v>
      </c>
      <c r="F88" s="48"/>
      <c r="G88" s="49" t="s">
        <v>340</v>
      </c>
      <c r="H88" s="50">
        <v>6000</v>
      </c>
      <c r="I88" s="50"/>
      <c r="J88" s="50">
        <f t="shared" si="1"/>
        <v>105000</v>
      </c>
    </row>
    <row r="89" spans="1:10" ht="17.25" x14ac:dyDescent="0.25">
      <c r="A89" s="47"/>
      <c r="B89" s="6" t="s">
        <v>55</v>
      </c>
      <c r="C89" s="56" t="s">
        <v>243</v>
      </c>
      <c r="D89" s="48" t="s">
        <v>486</v>
      </c>
      <c r="E89" s="48" t="s">
        <v>35</v>
      </c>
      <c r="F89" s="48"/>
      <c r="G89" s="49" t="s">
        <v>341</v>
      </c>
      <c r="H89" s="50">
        <v>6000</v>
      </c>
      <c r="I89" s="50"/>
      <c r="J89" s="50">
        <f t="shared" si="1"/>
        <v>111000</v>
      </c>
    </row>
    <row r="90" spans="1:10" ht="17.25" x14ac:dyDescent="0.25">
      <c r="A90" s="47"/>
      <c r="B90" s="6" t="s">
        <v>55</v>
      </c>
      <c r="C90" s="56" t="s">
        <v>243</v>
      </c>
      <c r="D90" s="48" t="s">
        <v>487</v>
      </c>
      <c r="E90" s="48" t="s">
        <v>22</v>
      </c>
      <c r="F90" s="48"/>
      <c r="G90" s="49" t="s">
        <v>342</v>
      </c>
      <c r="H90" s="50">
        <v>6000</v>
      </c>
      <c r="I90" s="50"/>
      <c r="J90" s="50">
        <f t="shared" si="1"/>
        <v>117000</v>
      </c>
    </row>
    <row r="91" spans="1:10" ht="17.25" x14ac:dyDescent="0.25">
      <c r="A91" s="47"/>
      <c r="B91" s="6" t="s">
        <v>55</v>
      </c>
      <c r="C91" s="56" t="s">
        <v>243</v>
      </c>
      <c r="D91" s="48" t="s">
        <v>488</v>
      </c>
      <c r="E91" s="48" t="s">
        <v>28</v>
      </c>
      <c r="F91" s="48"/>
      <c r="G91" s="49" t="s">
        <v>343</v>
      </c>
      <c r="H91" s="50">
        <v>0</v>
      </c>
      <c r="I91" s="50"/>
      <c r="J91" s="50">
        <f t="shared" si="1"/>
        <v>117000</v>
      </c>
    </row>
    <row r="92" spans="1:10" ht="17.25" x14ac:dyDescent="0.25">
      <c r="A92" s="47"/>
      <c r="B92" s="6" t="s">
        <v>55</v>
      </c>
      <c r="C92" s="56" t="s">
        <v>243</v>
      </c>
      <c r="D92" s="53" t="s">
        <v>489</v>
      </c>
      <c r="E92" s="53" t="s">
        <v>35</v>
      </c>
      <c r="F92" s="53">
        <v>542341</v>
      </c>
      <c r="G92" s="54" t="s">
        <v>344</v>
      </c>
      <c r="H92" s="50">
        <v>6000</v>
      </c>
      <c r="I92" s="50"/>
      <c r="J92" s="50">
        <f t="shared" si="1"/>
        <v>123000</v>
      </c>
    </row>
    <row r="93" spans="1:10" ht="17.25" x14ac:dyDescent="0.25">
      <c r="A93" s="47"/>
      <c r="B93" s="6" t="s">
        <v>55</v>
      </c>
      <c r="C93" s="56" t="s">
        <v>243</v>
      </c>
      <c r="D93" s="48" t="s">
        <v>490</v>
      </c>
      <c r="E93" s="48" t="s">
        <v>35</v>
      </c>
      <c r="F93" s="48"/>
      <c r="G93" s="49" t="s">
        <v>345</v>
      </c>
      <c r="H93" s="50">
        <v>6000</v>
      </c>
      <c r="I93" s="50"/>
      <c r="J93" s="50">
        <f t="shared" si="1"/>
        <v>129000</v>
      </c>
    </row>
    <row r="94" spans="1:10" ht="17.25" x14ac:dyDescent="0.25">
      <c r="A94" s="47"/>
      <c r="B94" s="6" t="s">
        <v>55</v>
      </c>
      <c r="C94" s="56" t="s">
        <v>243</v>
      </c>
      <c r="D94" s="48" t="s">
        <v>491</v>
      </c>
      <c r="E94" s="48" t="s">
        <v>22</v>
      </c>
      <c r="F94" s="48"/>
      <c r="G94" s="49" t="s">
        <v>346</v>
      </c>
      <c r="H94" s="50">
        <v>6000</v>
      </c>
      <c r="I94" s="50"/>
      <c r="J94" s="50">
        <f t="shared" si="1"/>
        <v>135000</v>
      </c>
    </row>
    <row r="95" spans="1:10" ht="17.25" x14ac:dyDescent="0.25">
      <c r="A95" s="47"/>
      <c r="B95" s="6" t="s">
        <v>55</v>
      </c>
      <c r="C95" s="56" t="s">
        <v>243</v>
      </c>
      <c r="D95" s="48" t="s">
        <v>492</v>
      </c>
      <c r="E95" s="48" t="s">
        <v>28</v>
      </c>
      <c r="F95" s="48"/>
      <c r="G95" s="49" t="s">
        <v>343</v>
      </c>
      <c r="H95" s="50">
        <v>0</v>
      </c>
      <c r="I95" s="50"/>
      <c r="J95" s="50">
        <f t="shared" si="1"/>
        <v>135000</v>
      </c>
    </row>
    <row r="96" spans="1:10" ht="17.25" x14ac:dyDescent="0.25">
      <c r="A96" s="47"/>
      <c r="B96" s="6" t="s">
        <v>55</v>
      </c>
      <c r="C96" s="56" t="s">
        <v>243</v>
      </c>
      <c r="D96" s="48" t="s">
        <v>493</v>
      </c>
      <c r="E96" s="48" t="s">
        <v>35</v>
      </c>
      <c r="F96" s="48"/>
      <c r="G96" s="49" t="s">
        <v>347</v>
      </c>
      <c r="H96" s="50">
        <v>6000</v>
      </c>
      <c r="I96" s="50"/>
      <c r="J96" s="50">
        <f t="shared" si="1"/>
        <v>141000</v>
      </c>
    </row>
    <row r="97" spans="1:10" ht="17.25" x14ac:dyDescent="0.25">
      <c r="A97" s="47"/>
      <c r="B97" s="6" t="s">
        <v>55</v>
      </c>
      <c r="C97" s="56" t="s">
        <v>243</v>
      </c>
      <c r="D97" s="48"/>
      <c r="E97" s="48"/>
      <c r="F97" s="48"/>
      <c r="G97" s="49" t="s">
        <v>348</v>
      </c>
      <c r="H97" s="50"/>
      <c r="I97" s="50">
        <v>90000</v>
      </c>
      <c r="J97" s="50">
        <f t="shared" si="1"/>
        <v>51000</v>
      </c>
    </row>
    <row r="98" spans="1:10" ht="17.25" x14ac:dyDescent="0.25">
      <c r="A98" s="47"/>
      <c r="B98" s="6" t="s">
        <v>55</v>
      </c>
      <c r="C98" s="56" t="s">
        <v>243</v>
      </c>
      <c r="D98" s="48"/>
      <c r="E98" s="48"/>
      <c r="F98" s="48"/>
      <c r="G98" s="49" t="s">
        <v>349</v>
      </c>
      <c r="H98" s="50">
        <v>2000</v>
      </c>
      <c r="I98" s="50"/>
      <c r="J98" s="50">
        <f t="shared" si="1"/>
        <v>53000</v>
      </c>
    </row>
    <row r="99" spans="1:10" ht="17.25" x14ac:dyDescent="0.25">
      <c r="A99" s="47"/>
      <c r="B99" s="6" t="s">
        <v>55</v>
      </c>
      <c r="C99" s="56" t="s">
        <v>243</v>
      </c>
      <c r="D99" s="48" t="s">
        <v>494</v>
      </c>
      <c r="E99" s="48" t="s">
        <v>35</v>
      </c>
      <c r="F99" s="48"/>
      <c r="G99" s="49" t="s">
        <v>350</v>
      </c>
      <c r="H99" s="50">
        <v>6000</v>
      </c>
      <c r="I99" s="50"/>
      <c r="J99" s="50">
        <f t="shared" si="1"/>
        <v>59000</v>
      </c>
    </row>
    <row r="100" spans="1:10" ht="17.25" x14ac:dyDescent="0.25">
      <c r="A100" s="47"/>
      <c r="B100" s="6" t="s">
        <v>55</v>
      </c>
      <c r="C100" s="56" t="s">
        <v>243</v>
      </c>
      <c r="D100" s="48" t="s">
        <v>495</v>
      </c>
      <c r="E100" s="48" t="s">
        <v>35</v>
      </c>
      <c r="F100" s="48"/>
      <c r="G100" s="49" t="s">
        <v>351</v>
      </c>
      <c r="H100" s="50">
        <v>6000</v>
      </c>
      <c r="I100" s="50"/>
      <c r="J100" s="50">
        <f t="shared" si="1"/>
        <v>65000</v>
      </c>
    </row>
    <row r="101" spans="1:10" ht="17.25" x14ac:dyDescent="0.25">
      <c r="A101" s="47"/>
      <c r="B101" s="6" t="s">
        <v>55</v>
      </c>
      <c r="C101" s="56" t="s">
        <v>243</v>
      </c>
      <c r="D101" s="48" t="s">
        <v>496</v>
      </c>
      <c r="E101" s="48" t="s">
        <v>35</v>
      </c>
      <c r="F101" s="48"/>
      <c r="G101" s="49" t="s">
        <v>352</v>
      </c>
      <c r="H101" s="50">
        <v>6000</v>
      </c>
      <c r="I101" s="50"/>
      <c r="J101" s="50">
        <f t="shared" si="1"/>
        <v>71000</v>
      </c>
    </row>
    <row r="102" spans="1:10" ht="17.25" x14ac:dyDescent="0.25">
      <c r="A102" s="47"/>
      <c r="B102" s="6" t="s">
        <v>55</v>
      </c>
      <c r="C102" s="56" t="s">
        <v>243</v>
      </c>
      <c r="D102" s="48" t="s">
        <v>497</v>
      </c>
      <c r="E102" s="48" t="s">
        <v>35</v>
      </c>
      <c r="F102" s="48"/>
      <c r="G102" s="49" t="s">
        <v>353</v>
      </c>
      <c r="H102" s="50">
        <v>6000</v>
      </c>
      <c r="I102" s="50"/>
      <c r="J102" s="50">
        <f t="shared" si="1"/>
        <v>77000</v>
      </c>
    </row>
    <row r="103" spans="1:10" ht="17.25" x14ac:dyDescent="0.25">
      <c r="A103" s="47"/>
      <c r="B103" s="6" t="s">
        <v>55</v>
      </c>
      <c r="C103" s="56" t="s">
        <v>243</v>
      </c>
      <c r="D103" s="48" t="s">
        <v>498</v>
      </c>
      <c r="E103" s="48" t="s">
        <v>35</v>
      </c>
      <c r="F103" s="48"/>
      <c r="G103" s="49" t="s">
        <v>354</v>
      </c>
      <c r="H103" s="50">
        <v>6000</v>
      </c>
      <c r="I103" s="50"/>
      <c r="J103" s="50">
        <f t="shared" si="1"/>
        <v>83000</v>
      </c>
    </row>
    <row r="104" spans="1:10" ht="17.25" x14ac:dyDescent="0.25">
      <c r="A104" s="47"/>
      <c r="B104" s="6" t="s">
        <v>55</v>
      </c>
      <c r="C104" s="56" t="s">
        <v>243</v>
      </c>
      <c r="D104" s="48" t="s">
        <v>499</v>
      </c>
      <c r="E104" s="48" t="s">
        <v>22</v>
      </c>
      <c r="F104" s="48"/>
      <c r="G104" s="49" t="s">
        <v>355</v>
      </c>
      <c r="H104" s="50">
        <v>6000</v>
      </c>
      <c r="I104" s="50"/>
      <c r="J104" s="50">
        <f t="shared" si="1"/>
        <v>89000</v>
      </c>
    </row>
    <row r="105" spans="1:10" ht="17.25" x14ac:dyDescent="0.25">
      <c r="A105" s="47"/>
      <c r="B105" s="6" t="s">
        <v>55</v>
      </c>
      <c r="C105" s="56" t="s">
        <v>243</v>
      </c>
      <c r="D105" s="48" t="s">
        <v>500</v>
      </c>
      <c r="E105" s="48" t="s">
        <v>35</v>
      </c>
      <c r="F105" s="48"/>
      <c r="G105" s="49" t="s">
        <v>356</v>
      </c>
      <c r="H105" s="50">
        <v>6000</v>
      </c>
      <c r="I105" s="50"/>
      <c r="J105" s="50">
        <f t="shared" si="1"/>
        <v>95000</v>
      </c>
    </row>
    <row r="106" spans="1:10" ht="17.25" x14ac:dyDescent="0.25">
      <c r="A106" s="47"/>
      <c r="B106" s="6" t="s">
        <v>55</v>
      </c>
      <c r="C106" s="56" t="s">
        <v>243</v>
      </c>
      <c r="D106" s="48" t="s">
        <v>501</v>
      </c>
      <c r="E106" s="48" t="s">
        <v>35</v>
      </c>
      <c r="F106" s="48"/>
      <c r="G106" s="49" t="s">
        <v>357</v>
      </c>
      <c r="H106" s="50">
        <v>6000</v>
      </c>
      <c r="I106" s="50"/>
      <c r="J106" s="50">
        <f t="shared" si="1"/>
        <v>101000</v>
      </c>
    </row>
    <row r="107" spans="1:10" ht="17.25" x14ac:dyDescent="0.25">
      <c r="A107" s="47"/>
      <c r="B107" s="6" t="s">
        <v>55</v>
      </c>
      <c r="C107" s="56" t="s">
        <v>243</v>
      </c>
      <c r="D107" s="48" t="s">
        <v>502</v>
      </c>
      <c r="E107" s="48" t="s">
        <v>35</v>
      </c>
      <c r="F107" s="48"/>
      <c r="G107" s="49" t="s">
        <v>358</v>
      </c>
      <c r="H107" s="50">
        <v>6000</v>
      </c>
      <c r="I107" s="50"/>
      <c r="J107" s="50">
        <f t="shared" si="1"/>
        <v>107000</v>
      </c>
    </row>
    <row r="108" spans="1:10" ht="17.25" x14ac:dyDescent="0.25">
      <c r="A108" s="47"/>
      <c r="B108" s="6" t="s">
        <v>55</v>
      </c>
      <c r="C108" s="56" t="s">
        <v>243</v>
      </c>
      <c r="D108" s="48" t="s">
        <v>503</v>
      </c>
      <c r="E108" s="48" t="s">
        <v>35</v>
      </c>
      <c r="F108" s="48"/>
      <c r="G108" s="49" t="s">
        <v>359</v>
      </c>
      <c r="H108" s="50">
        <v>6000</v>
      </c>
      <c r="I108" s="50"/>
      <c r="J108" s="50">
        <f t="shared" si="1"/>
        <v>113000</v>
      </c>
    </row>
    <row r="109" spans="1:10" ht="17.25" x14ac:dyDescent="0.25">
      <c r="A109" s="47">
        <v>44125</v>
      </c>
      <c r="B109" s="6" t="s">
        <v>55</v>
      </c>
      <c r="C109" s="56" t="s">
        <v>243</v>
      </c>
      <c r="D109" s="48"/>
      <c r="E109" s="48"/>
      <c r="F109" s="48"/>
      <c r="G109" s="49" t="s">
        <v>45</v>
      </c>
      <c r="H109" s="50"/>
      <c r="I109" s="50">
        <v>12000</v>
      </c>
      <c r="J109" s="50">
        <f t="shared" si="1"/>
        <v>101000</v>
      </c>
    </row>
    <row r="110" spans="1:10" ht="17.25" x14ac:dyDescent="0.25">
      <c r="A110" s="47"/>
      <c r="B110" s="6" t="s">
        <v>55</v>
      </c>
      <c r="C110" s="56" t="s">
        <v>243</v>
      </c>
      <c r="D110" s="48"/>
      <c r="E110" s="48"/>
      <c r="F110" s="48"/>
      <c r="G110" s="49" t="s">
        <v>360</v>
      </c>
      <c r="H110" s="50"/>
      <c r="I110" s="50">
        <v>50000</v>
      </c>
      <c r="J110" s="50">
        <f t="shared" si="1"/>
        <v>51000</v>
      </c>
    </row>
    <row r="111" spans="1:10" ht="17.25" x14ac:dyDescent="0.25">
      <c r="A111" s="47"/>
      <c r="B111" s="6" t="s">
        <v>55</v>
      </c>
      <c r="C111" s="56" t="s">
        <v>243</v>
      </c>
      <c r="D111" s="48" t="s">
        <v>504</v>
      </c>
      <c r="E111" s="48" t="s">
        <v>35</v>
      </c>
      <c r="F111" s="48"/>
      <c r="G111" s="49" t="s">
        <v>361</v>
      </c>
      <c r="H111" s="50">
        <v>4600</v>
      </c>
      <c r="I111" s="50"/>
      <c r="J111" s="50">
        <f t="shared" si="1"/>
        <v>55600</v>
      </c>
    </row>
    <row r="112" spans="1:10" ht="17.25" x14ac:dyDescent="0.25">
      <c r="A112" s="47"/>
      <c r="B112" s="6" t="s">
        <v>55</v>
      </c>
      <c r="C112" s="56" t="s">
        <v>243</v>
      </c>
      <c r="D112" s="48" t="s">
        <v>505</v>
      </c>
      <c r="E112" s="48" t="s">
        <v>35</v>
      </c>
      <c r="F112" s="48"/>
      <c r="G112" s="49" t="s">
        <v>362</v>
      </c>
      <c r="H112" s="50">
        <v>4600</v>
      </c>
      <c r="I112" s="50"/>
      <c r="J112" s="50">
        <f t="shared" si="1"/>
        <v>60200</v>
      </c>
    </row>
    <row r="113" spans="1:10" ht="17.25" x14ac:dyDescent="0.25">
      <c r="A113" s="47"/>
      <c r="B113" s="6" t="s">
        <v>55</v>
      </c>
      <c r="C113" s="56" t="s">
        <v>243</v>
      </c>
      <c r="D113" s="48" t="s">
        <v>506</v>
      </c>
      <c r="E113" s="48" t="s">
        <v>35</v>
      </c>
      <c r="F113" s="48"/>
      <c r="G113" s="49" t="s">
        <v>363</v>
      </c>
      <c r="H113" s="50">
        <v>4600</v>
      </c>
      <c r="I113" s="50"/>
      <c r="J113" s="50">
        <f t="shared" si="1"/>
        <v>64800</v>
      </c>
    </row>
    <row r="114" spans="1:10" ht="17.25" x14ac:dyDescent="0.25">
      <c r="A114" s="47"/>
      <c r="B114" s="6" t="s">
        <v>55</v>
      </c>
      <c r="C114" s="56" t="s">
        <v>243</v>
      </c>
      <c r="D114" s="48"/>
      <c r="E114" s="48"/>
      <c r="F114" s="48"/>
      <c r="G114" s="49" t="s">
        <v>45</v>
      </c>
      <c r="H114" s="50"/>
      <c r="I114" s="50">
        <v>13600</v>
      </c>
      <c r="J114" s="50">
        <f t="shared" si="1"/>
        <v>51200</v>
      </c>
    </row>
    <row r="115" spans="1:10" ht="17.25" x14ac:dyDescent="0.25">
      <c r="A115" s="47"/>
      <c r="B115" s="6" t="s">
        <v>55</v>
      </c>
      <c r="C115" s="56" t="s">
        <v>243</v>
      </c>
      <c r="D115" s="48" t="s">
        <v>507</v>
      </c>
      <c r="E115" s="48" t="s">
        <v>35</v>
      </c>
      <c r="F115" s="48"/>
      <c r="G115" s="49" t="s">
        <v>364</v>
      </c>
      <c r="H115" s="50">
        <v>4600</v>
      </c>
      <c r="I115" s="50"/>
      <c r="J115" s="50">
        <f t="shared" si="1"/>
        <v>55800</v>
      </c>
    </row>
    <row r="116" spans="1:10" ht="17.25" x14ac:dyDescent="0.25">
      <c r="A116" s="47"/>
      <c r="B116" s="6" t="s">
        <v>55</v>
      </c>
      <c r="C116" s="56" t="s">
        <v>243</v>
      </c>
      <c r="D116" s="48" t="s">
        <v>508</v>
      </c>
      <c r="E116" s="48" t="s">
        <v>35</v>
      </c>
      <c r="F116" s="48"/>
      <c r="G116" s="49" t="s">
        <v>365</v>
      </c>
      <c r="H116" s="50">
        <v>4600</v>
      </c>
      <c r="I116" s="50"/>
      <c r="J116" s="50">
        <f t="shared" si="1"/>
        <v>60400</v>
      </c>
    </row>
    <row r="117" spans="1:10" ht="17.25" x14ac:dyDescent="0.25">
      <c r="A117" s="47"/>
      <c r="B117" s="6" t="s">
        <v>55</v>
      </c>
      <c r="C117" s="56" t="s">
        <v>243</v>
      </c>
      <c r="D117" s="48" t="s">
        <v>509</v>
      </c>
      <c r="E117" s="48" t="s">
        <v>35</v>
      </c>
      <c r="F117" s="48"/>
      <c r="G117" s="49" t="s">
        <v>366</v>
      </c>
      <c r="H117" s="50">
        <v>4600</v>
      </c>
      <c r="I117" s="50"/>
      <c r="J117" s="50">
        <f t="shared" si="1"/>
        <v>65000</v>
      </c>
    </row>
    <row r="118" spans="1:10" ht="17.25" x14ac:dyDescent="0.25">
      <c r="A118" s="47"/>
      <c r="B118" s="6" t="s">
        <v>55</v>
      </c>
      <c r="C118" s="56" t="s">
        <v>243</v>
      </c>
      <c r="D118" s="48" t="s">
        <v>510</v>
      </c>
      <c r="E118" s="48" t="s">
        <v>35</v>
      </c>
      <c r="F118" s="48"/>
      <c r="G118" s="49" t="s">
        <v>367</v>
      </c>
      <c r="H118" s="50">
        <v>4600</v>
      </c>
      <c r="I118" s="50"/>
      <c r="J118" s="50">
        <f t="shared" si="1"/>
        <v>69600</v>
      </c>
    </row>
    <row r="119" spans="1:10" ht="17.25" x14ac:dyDescent="0.25">
      <c r="A119" s="47">
        <v>44278</v>
      </c>
      <c r="B119" s="6" t="s">
        <v>55</v>
      </c>
      <c r="C119" s="56" t="s">
        <v>243</v>
      </c>
      <c r="D119" s="48"/>
      <c r="E119" s="48"/>
      <c r="F119" s="48"/>
      <c r="G119" s="49" t="s">
        <v>368</v>
      </c>
      <c r="H119" s="50"/>
      <c r="I119" s="50">
        <v>12000</v>
      </c>
      <c r="J119" s="50">
        <f t="shared" si="1"/>
        <v>57600</v>
      </c>
    </row>
    <row r="120" spans="1:10" ht="17.25" x14ac:dyDescent="0.25">
      <c r="A120" s="47"/>
      <c r="B120" s="6" t="s">
        <v>55</v>
      </c>
      <c r="C120" s="56" t="s">
        <v>243</v>
      </c>
      <c r="D120" s="48"/>
      <c r="E120" s="48"/>
      <c r="F120" s="48"/>
      <c r="G120" s="49" t="s">
        <v>369</v>
      </c>
      <c r="H120" s="50">
        <v>600</v>
      </c>
      <c r="I120" s="50"/>
      <c r="J120" s="50">
        <f t="shared" si="1"/>
        <v>58200</v>
      </c>
    </row>
    <row r="121" spans="1:10" ht="17.25" x14ac:dyDescent="0.25">
      <c r="A121" s="47"/>
      <c r="B121" s="6" t="s">
        <v>55</v>
      </c>
      <c r="C121" s="56" t="s">
        <v>243</v>
      </c>
      <c r="D121" s="48" t="s">
        <v>511</v>
      </c>
      <c r="E121" s="48" t="s">
        <v>35</v>
      </c>
      <c r="F121" s="48"/>
      <c r="G121" s="49" t="s">
        <v>370</v>
      </c>
      <c r="H121" s="50">
        <v>4600</v>
      </c>
      <c r="I121" s="50"/>
      <c r="J121" s="50">
        <f t="shared" si="1"/>
        <v>62800</v>
      </c>
    </row>
    <row r="122" spans="1:10" ht="17.25" x14ac:dyDescent="0.25">
      <c r="A122" s="47"/>
      <c r="B122" s="6" t="s">
        <v>55</v>
      </c>
      <c r="C122" s="56" t="s">
        <v>243</v>
      </c>
      <c r="D122" s="48" t="s">
        <v>512</v>
      </c>
      <c r="E122" s="48" t="s">
        <v>35</v>
      </c>
      <c r="F122" s="48"/>
      <c r="G122" s="49" t="s">
        <v>371</v>
      </c>
      <c r="H122" s="50">
        <v>4600</v>
      </c>
      <c r="I122" s="50"/>
      <c r="J122" s="50">
        <f t="shared" si="1"/>
        <v>67400</v>
      </c>
    </row>
    <row r="123" spans="1:10" ht="17.25" x14ac:dyDescent="0.25">
      <c r="A123" s="47"/>
      <c r="B123" s="6" t="s">
        <v>55</v>
      </c>
      <c r="C123" s="56" t="s">
        <v>243</v>
      </c>
      <c r="D123" s="48" t="s">
        <v>513</v>
      </c>
      <c r="E123" s="48" t="s">
        <v>35</v>
      </c>
      <c r="F123" s="48"/>
      <c r="G123" s="49" t="s">
        <v>372</v>
      </c>
      <c r="H123" s="50">
        <v>4600</v>
      </c>
      <c r="I123" s="50"/>
      <c r="J123" s="50">
        <f t="shared" si="1"/>
        <v>72000</v>
      </c>
    </row>
    <row r="124" spans="1:10" ht="17.25" x14ac:dyDescent="0.25">
      <c r="A124" s="47"/>
      <c r="B124" s="6" t="s">
        <v>55</v>
      </c>
      <c r="C124" s="56" t="s">
        <v>243</v>
      </c>
      <c r="D124" s="48" t="s">
        <v>514</v>
      </c>
      <c r="E124" s="48" t="s">
        <v>35</v>
      </c>
      <c r="F124" s="48"/>
      <c r="G124" s="49" t="s">
        <v>373</v>
      </c>
      <c r="H124" s="50">
        <v>4600</v>
      </c>
      <c r="I124" s="50"/>
      <c r="J124" s="50">
        <f t="shared" si="1"/>
        <v>76600</v>
      </c>
    </row>
    <row r="125" spans="1:10" ht="17.25" x14ac:dyDescent="0.25">
      <c r="A125" s="47"/>
      <c r="B125" s="6" t="s">
        <v>55</v>
      </c>
      <c r="C125" s="56" t="s">
        <v>243</v>
      </c>
      <c r="D125" s="48"/>
      <c r="E125" s="48"/>
      <c r="F125" s="48"/>
      <c r="G125" s="49" t="s">
        <v>374</v>
      </c>
      <c r="H125" s="50"/>
      <c r="I125" s="50">
        <v>8000</v>
      </c>
      <c r="J125" s="50">
        <f t="shared" si="1"/>
        <v>68600</v>
      </c>
    </row>
    <row r="126" spans="1:10" ht="17.25" x14ac:dyDescent="0.25">
      <c r="A126" s="47"/>
      <c r="B126" s="6" t="s">
        <v>55</v>
      </c>
      <c r="C126" s="56" t="s">
        <v>243</v>
      </c>
      <c r="D126" s="48"/>
      <c r="E126" s="48"/>
      <c r="F126" s="48"/>
      <c r="G126" s="49" t="s">
        <v>374</v>
      </c>
      <c r="H126" s="50"/>
      <c r="I126" s="50">
        <v>8000</v>
      </c>
      <c r="J126" s="50">
        <f t="shared" si="1"/>
        <v>60600</v>
      </c>
    </row>
    <row r="127" spans="1:10" ht="17.25" x14ac:dyDescent="0.25">
      <c r="A127" s="47"/>
      <c r="B127" s="6" t="s">
        <v>55</v>
      </c>
      <c r="C127" s="56" t="s">
        <v>243</v>
      </c>
      <c r="D127" s="48"/>
      <c r="E127" s="48"/>
      <c r="F127" s="48"/>
      <c r="G127" s="49" t="s">
        <v>375</v>
      </c>
      <c r="H127" s="50"/>
      <c r="I127" s="50">
        <v>5000</v>
      </c>
      <c r="J127" s="50">
        <f t="shared" si="1"/>
        <v>55600</v>
      </c>
    </row>
    <row r="128" spans="1:10" ht="17.25" x14ac:dyDescent="0.25">
      <c r="A128" s="47"/>
      <c r="B128" s="6" t="s">
        <v>55</v>
      </c>
      <c r="C128" s="56" t="s">
        <v>243</v>
      </c>
      <c r="D128" s="48" t="s">
        <v>515</v>
      </c>
      <c r="E128" s="48" t="s">
        <v>22</v>
      </c>
      <c r="F128" s="48"/>
      <c r="G128" s="49" t="s">
        <v>376</v>
      </c>
      <c r="H128" s="50">
        <v>6000</v>
      </c>
      <c r="I128" s="50"/>
      <c r="J128" s="50">
        <f t="shared" si="1"/>
        <v>61600</v>
      </c>
    </row>
    <row r="129" spans="1:10" ht="17.25" x14ac:dyDescent="0.25">
      <c r="A129" s="47"/>
      <c r="B129" s="6" t="s">
        <v>55</v>
      </c>
      <c r="C129" s="56" t="s">
        <v>243</v>
      </c>
      <c r="D129" s="48" t="s">
        <v>516</v>
      </c>
      <c r="E129" s="48" t="s">
        <v>22</v>
      </c>
      <c r="F129" s="48"/>
      <c r="G129" s="49" t="s">
        <v>377</v>
      </c>
      <c r="H129" s="50">
        <v>6000</v>
      </c>
      <c r="I129" s="50"/>
      <c r="J129" s="50">
        <f t="shared" si="1"/>
        <v>67600</v>
      </c>
    </row>
    <row r="130" spans="1:10" ht="17.25" x14ac:dyDescent="0.25">
      <c r="A130" s="47"/>
      <c r="B130" s="6" t="s">
        <v>55</v>
      </c>
      <c r="C130" s="56" t="s">
        <v>243</v>
      </c>
      <c r="D130" s="48"/>
      <c r="E130" s="48"/>
      <c r="F130" s="48"/>
      <c r="G130" s="49" t="s">
        <v>378</v>
      </c>
      <c r="H130" s="50"/>
      <c r="I130" s="50">
        <v>30000</v>
      </c>
      <c r="J130" s="50">
        <f t="shared" si="1"/>
        <v>37600</v>
      </c>
    </row>
    <row r="131" spans="1:10" ht="17.25" x14ac:dyDescent="0.25">
      <c r="A131" s="47">
        <v>44470</v>
      </c>
      <c r="B131" s="6" t="s">
        <v>55</v>
      </c>
      <c r="C131" s="56" t="s">
        <v>243</v>
      </c>
      <c r="D131" s="48"/>
      <c r="E131" s="48"/>
      <c r="F131" s="48"/>
      <c r="G131" s="49" t="s">
        <v>379</v>
      </c>
      <c r="H131" s="50"/>
      <c r="I131" s="50">
        <v>12000</v>
      </c>
      <c r="J131" s="50">
        <f t="shared" si="1"/>
        <v>25600</v>
      </c>
    </row>
    <row r="132" spans="1:10" ht="17.25" x14ac:dyDescent="0.25">
      <c r="A132" s="47"/>
      <c r="B132" s="6" t="s">
        <v>55</v>
      </c>
      <c r="C132" s="56" t="s">
        <v>243</v>
      </c>
      <c r="D132" s="48" t="s">
        <v>517</v>
      </c>
      <c r="E132" s="48" t="s">
        <v>22</v>
      </c>
      <c r="F132" s="48">
        <v>579005</v>
      </c>
      <c r="G132" s="49" t="s">
        <v>380</v>
      </c>
      <c r="H132" s="50">
        <v>6000</v>
      </c>
      <c r="I132" s="50"/>
      <c r="J132" s="50">
        <f t="shared" si="1"/>
        <v>31600</v>
      </c>
    </row>
    <row r="133" spans="1:10" ht="17.25" x14ac:dyDescent="0.25">
      <c r="A133" s="47"/>
      <c r="B133" s="6" t="s">
        <v>55</v>
      </c>
      <c r="C133" s="56" t="s">
        <v>243</v>
      </c>
      <c r="D133" s="48" t="s">
        <v>518</v>
      </c>
      <c r="E133" s="48" t="s">
        <v>22</v>
      </c>
      <c r="F133" s="48"/>
      <c r="G133" s="49" t="s">
        <v>381</v>
      </c>
      <c r="H133" s="50">
        <v>6000</v>
      </c>
      <c r="I133" s="50"/>
      <c r="J133" s="50">
        <f t="shared" si="1"/>
        <v>37600</v>
      </c>
    </row>
    <row r="134" spans="1:10" ht="17.25" x14ac:dyDescent="0.25">
      <c r="A134" s="47"/>
      <c r="B134" s="6" t="s">
        <v>55</v>
      </c>
      <c r="C134" s="56" t="s">
        <v>243</v>
      </c>
      <c r="D134" s="48" t="s">
        <v>519</v>
      </c>
      <c r="E134" s="48" t="s">
        <v>22</v>
      </c>
      <c r="F134" s="48"/>
      <c r="G134" s="49" t="s">
        <v>382</v>
      </c>
      <c r="H134" s="50">
        <v>6000</v>
      </c>
      <c r="I134" s="50"/>
      <c r="J134" s="50">
        <f t="shared" si="1"/>
        <v>43600</v>
      </c>
    </row>
    <row r="135" spans="1:10" ht="17.25" x14ac:dyDescent="0.25">
      <c r="A135" s="47"/>
      <c r="B135" s="6" t="s">
        <v>55</v>
      </c>
      <c r="C135" s="56" t="s">
        <v>243</v>
      </c>
      <c r="D135" s="48" t="s">
        <v>520</v>
      </c>
      <c r="E135" s="48" t="s">
        <v>22</v>
      </c>
      <c r="F135" s="48"/>
      <c r="G135" s="49" t="s">
        <v>383</v>
      </c>
      <c r="H135" s="50">
        <v>6000</v>
      </c>
      <c r="I135" s="50"/>
      <c r="J135" s="50">
        <f t="shared" si="1"/>
        <v>49600</v>
      </c>
    </row>
    <row r="136" spans="1:10" ht="17.25" x14ac:dyDescent="0.25">
      <c r="A136" s="47">
        <v>44650</v>
      </c>
      <c r="B136" s="6" t="s">
        <v>55</v>
      </c>
      <c r="C136" s="56" t="s">
        <v>243</v>
      </c>
      <c r="D136" s="48"/>
      <c r="E136" s="48"/>
      <c r="F136" s="48"/>
      <c r="G136" s="49" t="s">
        <v>45</v>
      </c>
      <c r="H136" s="50"/>
      <c r="I136" s="50">
        <v>50000</v>
      </c>
      <c r="J136" s="50">
        <f t="shared" ref="J136:J199" si="2">IF(AND(H136="", I136=""), "", J135 + H136 - I136)</f>
        <v>-400</v>
      </c>
    </row>
    <row r="137" spans="1:10" ht="17.25" x14ac:dyDescent="0.25">
      <c r="A137" s="47"/>
      <c r="B137" s="6" t="s">
        <v>55</v>
      </c>
      <c r="C137" s="56" t="s">
        <v>243</v>
      </c>
      <c r="D137" s="48" t="s">
        <v>528</v>
      </c>
      <c r="E137" s="48" t="s">
        <v>22</v>
      </c>
      <c r="F137" s="48">
        <v>577109</v>
      </c>
      <c r="G137" s="49" t="s">
        <v>384</v>
      </c>
      <c r="H137" s="50">
        <v>6600</v>
      </c>
      <c r="I137" s="50"/>
      <c r="J137" s="50">
        <f t="shared" si="2"/>
        <v>6200</v>
      </c>
    </row>
    <row r="138" spans="1:10" ht="17.25" x14ac:dyDescent="0.25">
      <c r="A138" s="47"/>
      <c r="B138" s="6" t="s">
        <v>55</v>
      </c>
      <c r="C138" s="56" t="s">
        <v>243</v>
      </c>
      <c r="D138" s="48" t="s">
        <v>495</v>
      </c>
      <c r="E138" s="48" t="s">
        <v>22</v>
      </c>
      <c r="F138" s="48">
        <v>548082</v>
      </c>
      <c r="G138" s="49" t="s">
        <v>385</v>
      </c>
      <c r="H138" s="50">
        <v>6600</v>
      </c>
      <c r="I138" s="50"/>
      <c r="J138" s="50">
        <f t="shared" si="2"/>
        <v>12800</v>
      </c>
    </row>
    <row r="139" spans="1:10" ht="17.25" x14ac:dyDescent="0.25">
      <c r="A139" s="47"/>
      <c r="B139" s="6" t="s">
        <v>55</v>
      </c>
      <c r="C139" s="56" t="s">
        <v>243</v>
      </c>
      <c r="D139" s="48"/>
      <c r="E139" s="48" t="s">
        <v>22</v>
      </c>
      <c r="F139" s="48">
        <v>573080</v>
      </c>
      <c r="G139" s="49" t="s">
        <v>386</v>
      </c>
      <c r="H139" s="50">
        <v>6000</v>
      </c>
      <c r="I139" s="50"/>
      <c r="J139" s="50">
        <f t="shared" si="2"/>
        <v>18800</v>
      </c>
    </row>
    <row r="140" spans="1:10" ht="17.25" x14ac:dyDescent="0.25">
      <c r="A140" s="47"/>
      <c r="B140" s="6" t="s">
        <v>55</v>
      </c>
      <c r="C140" s="56" t="s">
        <v>243</v>
      </c>
      <c r="D140" s="48"/>
      <c r="E140" s="48"/>
      <c r="F140" s="48">
        <v>607709</v>
      </c>
      <c r="G140" s="49" t="s">
        <v>387</v>
      </c>
      <c r="H140" s="50">
        <v>1500</v>
      </c>
      <c r="I140" s="50"/>
      <c r="J140" s="50">
        <f t="shared" si="2"/>
        <v>20300</v>
      </c>
    </row>
    <row r="141" spans="1:10" ht="17.25" x14ac:dyDescent="0.25">
      <c r="A141" s="47"/>
      <c r="B141" s="6" t="s">
        <v>55</v>
      </c>
      <c r="C141" s="56" t="s">
        <v>243</v>
      </c>
      <c r="D141" s="48"/>
      <c r="E141" s="48" t="s">
        <v>28</v>
      </c>
      <c r="F141" s="48">
        <v>583974</v>
      </c>
      <c r="G141" s="49" t="s">
        <v>388</v>
      </c>
      <c r="H141" s="50">
        <v>9435</v>
      </c>
      <c r="I141" s="50"/>
      <c r="J141" s="50">
        <f t="shared" si="2"/>
        <v>29735</v>
      </c>
    </row>
    <row r="142" spans="1:10" ht="17.25" x14ac:dyDescent="0.25">
      <c r="A142" s="47"/>
      <c r="B142" s="6" t="s">
        <v>55</v>
      </c>
      <c r="C142" s="56" t="s">
        <v>243</v>
      </c>
      <c r="D142" s="48" t="s">
        <v>517</v>
      </c>
      <c r="E142" s="48" t="s">
        <v>28</v>
      </c>
      <c r="F142" s="48">
        <v>579005</v>
      </c>
      <c r="G142" s="49" t="s">
        <v>389</v>
      </c>
      <c r="H142" s="50">
        <v>9435</v>
      </c>
      <c r="I142" s="50"/>
      <c r="J142" s="50">
        <f t="shared" si="2"/>
        <v>39170</v>
      </c>
    </row>
    <row r="143" spans="1:10" ht="17.25" x14ac:dyDescent="0.25">
      <c r="A143" s="47"/>
      <c r="B143" s="6" t="s">
        <v>55</v>
      </c>
      <c r="C143" s="56" t="s">
        <v>243</v>
      </c>
      <c r="D143" s="48"/>
      <c r="E143" s="48" t="s">
        <v>28</v>
      </c>
      <c r="F143" s="48">
        <v>590897</v>
      </c>
      <c r="G143" s="49" t="s">
        <v>390</v>
      </c>
      <c r="H143" s="50">
        <v>9435</v>
      </c>
      <c r="I143" s="50"/>
      <c r="J143" s="50">
        <f t="shared" si="2"/>
        <v>48605</v>
      </c>
    </row>
    <row r="144" spans="1:10" ht="17.25" x14ac:dyDescent="0.25">
      <c r="A144" s="47"/>
      <c r="B144" s="6" t="s">
        <v>55</v>
      </c>
      <c r="C144" s="56" t="s">
        <v>243</v>
      </c>
      <c r="D144" s="48"/>
      <c r="E144" s="48" t="s">
        <v>28</v>
      </c>
      <c r="F144" s="48">
        <v>580455</v>
      </c>
      <c r="G144" s="49" t="s">
        <v>391</v>
      </c>
      <c r="H144" s="50">
        <v>9435</v>
      </c>
      <c r="I144" s="50"/>
      <c r="J144" s="50">
        <f t="shared" si="2"/>
        <v>58040</v>
      </c>
    </row>
    <row r="145" spans="1:10" ht="17.25" x14ac:dyDescent="0.25">
      <c r="A145" s="47"/>
      <c r="B145" s="6" t="s">
        <v>55</v>
      </c>
      <c r="C145" s="56" t="s">
        <v>243</v>
      </c>
      <c r="D145" s="48"/>
      <c r="E145" s="48" t="s">
        <v>28</v>
      </c>
      <c r="F145" s="48">
        <v>579569</v>
      </c>
      <c r="G145" s="49" t="s">
        <v>392</v>
      </c>
      <c r="H145" s="50">
        <v>9435</v>
      </c>
      <c r="I145" s="50"/>
      <c r="J145" s="50">
        <f t="shared" si="2"/>
        <v>67475</v>
      </c>
    </row>
    <row r="146" spans="1:10" ht="17.25" x14ac:dyDescent="0.25">
      <c r="A146" s="47">
        <v>44756</v>
      </c>
      <c r="B146" s="6" t="s">
        <v>55</v>
      </c>
      <c r="C146" s="56" t="s">
        <v>243</v>
      </c>
      <c r="D146" s="48"/>
      <c r="E146" s="48"/>
      <c r="F146" s="48"/>
      <c r="G146" s="49" t="s">
        <v>45</v>
      </c>
      <c r="H146" s="50"/>
      <c r="I146" s="50">
        <v>50000</v>
      </c>
      <c r="J146" s="50">
        <f t="shared" si="2"/>
        <v>17475</v>
      </c>
    </row>
    <row r="147" spans="1:10" ht="17.25" x14ac:dyDescent="0.25">
      <c r="A147" s="47"/>
      <c r="B147" s="6" t="s">
        <v>55</v>
      </c>
      <c r="C147" s="56" t="s">
        <v>243</v>
      </c>
      <c r="D147" s="48" t="s">
        <v>521</v>
      </c>
      <c r="E147" s="48"/>
      <c r="F147" s="48"/>
      <c r="G147" s="49" t="s">
        <v>393</v>
      </c>
      <c r="H147" s="50">
        <v>6600</v>
      </c>
      <c r="I147" s="50"/>
      <c r="J147" s="50">
        <f t="shared" si="2"/>
        <v>24075</v>
      </c>
    </row>
    <row r="148" spans="1:10" ht="17.25" x14ac:dyDescent="0.25">
      <c r="A148" s="47"/>
      <c r="B148" s="6" t="s">
        <v>55</v>
      </c>
      <c r="C148" s="56" t="s">
        <v>243</v>
      </c>
      <c r="D148" s="48" t="s">
        <v>522</v>
      </c>
      <c r="E148" s="48" t="s">
        <v>22</v>
      </c>
      <c r="F148" s="48"/>
      <c r="G148" s="49" t="s">
        <v>394</v>
      </c>
      <c r="H148" s="50">
        <v>0</v>
      </c>
      <c r="I148" s="50">
        <v>0</v>
      </c>
      <c r="J148" s="50">
        <f t="shared" si="2"/>
        <v>24075</v>
      </c>
    </row>
    <row r="149" spans="1:10" ht="17.25" x14ac:dyDescent="0.25">
      <c r="A149" s="47"/>
      <c r="B149" s="6" t="s">
        <v>55</v>
      </c>
      <c r="C149" s="56" t="s">
        <v>243</v>
      </c>
      <c r="D149" s="48" t="s">
        <v>523</v>
      </c>
      <c r="E149" s="48" t="s">
        <v>22</v>
      </c>
      <c r="F149" s="48"/>
      <c r="G149" s="49" t="s">
        <v>395</v>
      </c>
      <c r="H149" s="50">
        <v>6600</v>
      </c>
      <c r="I149" s="50"/>
      <c r="J149" s="50">
        <f t="shared" si="2"/>
        <v>30675</v>
      </c>
    </row>
    <row r="150" spans="1:10" ht="17.25" x14ac:dyDescent="0.25">
      <c r="A150" s="47"/>
      <c r="B150" s="6" t="s">
        <v>55</v>
      </c>
      <c r="C150" s="56" t="s">
        <v>243</v>
      </c>
      <c r="D150" s="48"/>
      <c r="E150" s="48"/>
      <c r="F150" s="48"/>
      <c r="G150" s="49" t="s">
        <v>45</v>
      </c>
      <c r="H150" s="50"/>
      <c r="I150" s="50">
        <v>15000</v>
      </c>
      <c r="J150" s="50">
        <f t="shared" si="2"/>
        <v>15675</v>
      </c>
    </row>
    <row r="151" spans="1:10" ht="17.25" x14ac:dyDescent="0.25">
      <c r="A151" s="47"/>
      <c r="B151" s="6" t="s">
        <v>55</v>
      </c>
      <c r="C151" s="56" t="s">
        <v>243</v>
      </c>
      <c r="D151" s="48" t="s">
        <v>524</v>
      </c>
      <c r="E151" s="48" t="s">
        <v>22</v>
      </c>
      <c r="F151" s="48"/>
      <c r="G151" s="49" t="s">
        <v>396</v>
      </c>
      <c r="H151" s="50">
        <v>6600</v>
      </c>
      <c r="I151" s="50"/>
      <c r="J151" s="50">
        <f t="shared" si="2"/>
        <v>22275</v>
      </c>
    </row>
    <row r="152" spans="1:10" ht="17.25" x14ac:dyDescent="0.25">
      <c r="A152" s="47"/>
      <c r="B152" s="6" t="s">
        <v>55</v>
      </c>
      <c r="C152" s="56" t="s">
        <v>243</v>
      </c>
      <c r="D152" s="48" t="s">
        <v>525</v>
      </c>
      <c r="E152" s="48"/>
      <c r="F152" s="48"/>
      <c r="G152" s="49" t="s">
        <v>397</v>
      </c>
      <c r="H152" s="50">
        <v>18000</v>
      </c>
      <c r="I152" s="50">
        <v>18000</v>
      </c>
      <c r="J152" s="50">
        <f t="shared" si="2"/>
        <v>22275</v>
      </c>
    </row>
    <row r="153" spans="1:10" ht="17.25" x14ac:dyDescent="0.25">
      <c r="A153" s="47">
        <v>45134</v>
      </c>
      <c r="B153" s="6" t="s">
        <v>55</v>
      </c>
      <c r="C153" s="56" t="s">
        <v>243</v>
      </c>
      <c r="D153" s="48"/>
      <c r="E153" s="48"/>
      <c r="F153" s="48"/>
      <c r="G153" s="49" t="s">
        <v>398</v>
      </c>
      <c r="H153" s="50">
        <v>1200</v>
      </c>
      <c r="I153" s="50"/>
      <c r="J153" s="50">
        <f t="shared" si="2"/>
        <v>23475</v>
      </c>
    </row>
    <row r="154" spans="1:10" ht="17.25" x14ac:dyDescent="0.25">
      <c r="A154" s="47">
        <v>45157</v>
      </c>
      <c r="B154" s="6" t="s">
        <v>55</v>
      </c>
      <c r="C154" s="56" t="s">
        <v>243</v>
      </c>
      <c r="D154" s="48"/>
      <c r="E154" s="48"/>
      <c r="F154" s="48"/>
      <c r="G154" s="49" t="s">
        <v>399</v>
      </c>
      <c r="H154" s="50">
        <v>600</v>
      </c>
      <c r="I154" s="50"/>
      <c r="J154" s="50">
        <f t="shared" si="2"/>
        <v>24075</v>
      </c>
    </row>
    <row r="155" spans="1:10" ht="17.25" x14ac:dyDescent="0.25">
      <c r="A155" s="47">
        <v>45169</v>
      </c>
      <c r="B155" s="6" t="s">
        <v>55</v>
      </c>
      <c r="C155" s="56" t="s">
        <v>243</v>
      </c>
      <c r="D155" s="48"/>
      <c r="E155" s="48"/>
      <c r="F155" s="48"/>
      <c r="G155" s="49" t="s">
        <v>400</v>
      </c>
      <c r="H155" s="50">
        <v>600</v>
      </c>
      <c r="I155" s="50"/>
      <c r="J155" s="50">
        <f t="shared" si="2"/>
        <v>24675</v>
      </c>
    </row>
    <row r="156" spans="1:10" ht="17.25" x14ac:dyDescent="0.25">
      <c r="A156" s="47">
        <v>45201</v>
      </c>
      <c r="B156" s="6" t="s">
        <v>55</v>
      </c>
      <c r="C156" s="56" t="s">
        <v>243</v>
      </c>
      <c r="D156" s="48" t="s">
        <v>526</v>
      </c>
      <c r="E156" s="48" t="s">
        <v>28</v>
      </c>
      <c r="F156" s="48">
        <v>573080</v>
      </c>
      <c r="G156" s="49" t="s">
        <v>401</v>
      </c>
      <c r="H156" s="50">
        <v>15000</v>
      </c>
      <c r="I156" s="50"/>
      <c r="J156" s="50">
        <f t="shared" si="2"/>
        <v>39675</v>
      </c>
    </row>
    <row r="157" spans="1:10" ht="17.25" x14ac:dyDescent="0.25">
      <c r="A157" s="47">
        <v>45201</v>
      </c>
      <c r="B157" s="6" t="s">
        <v>55</v>
      </c>
      <c r="C157" s="56" t="s">
        <v>243</v>
      </c>
      <c r="D157" s="48" t="s">
        <v>527</v>
      </c>
      <c r="E157" s="48" t="s">
        <v>22</v>
      </c>
      <c r="F157" s="48">
        <v>565615</v>
      </c>
      <c r="G157" s="49" t="s">
        <v>402</v>
      </c>
      <c r="H157" s="50">
        <v>6600</v>
      </c>
      <c r="I157" s="50"/>
      <c r="J157" s="50">
        <f t="shared" si="2"/>
        <v>46275</v>
      </c>
    </row>
    <row r="158" spans="1:10" ht="17.25" x14ac:dyDescent="0.25">
      <c r="A158" s="47">
        <v>45201</v>
      </c>
      <c r="B158" s="6" t="s">
        <v>55</v>
      </c>
      <c r="C158" s="56" t="s">
        <v>243</v>
      </c>
      <c r="D158" s="48" t="s">
        <v>527</v>
      </c>
      <c r="E158" s="48" t="s">
        <v>28</v>
      </c>
      <c r="F158" s="48">
        <v>565615</v>
      </c>
      <c r="G158" s="49" t="s">
        <v>403</v>
      </c>
      <c r="H158" s="50">
        <v>10000</v>
      </c>
      <c r="I158" s="50"/>
      <c r="J158" s="50">
        <f t="shared" si="2"/>
        <v>56275</v>
      </c>
    </row>
    <row r="159" spans="1:10" ht="17.25" x14ac:dyDescent="0.25">
      <c r="A159" s="47">
        <v>45201</v>
      </c>
      <c r="B159" s="6" t="s">
        <v>55</v>
      </c>
      <c r="C159" s="56" t="s">
        <v>243</v>
      </c>
      <c r="D159" s="48"/>
      <c r="E159" s="48"/>
      <c r="F159" s="48"/>
      <c r="G159" s="49" t="s">
        <v>45</v>
      </c>
      <c r="H159" s="50"/>
      <c r="I159" s="50">
        <v>30000</v>
      </c>
      <c r="J159" s="50">
        <f t="shared" si="2"/>
        <v>26275</v>
      </c>
    </row>
    <row r="160" spans="1:10" ht="17.25" x14ac:dyDescent="0.25">
      <c r="A160" s="47">
        <v>45202</v>
      </c>
      <c r="B160" s="6" t="s">
        <v>55</v>
      </c>
      <c r="C160" s="56" t="s">
        <v>243</v>
      </c>
      <c r="D160" s="48"/>
      <c r="E160" s="48"/>
      <c r="F160" s="48"/>
      <c r="G160" s="49" t="s">
        <v>400</v>
      </c>
      <c r="H160" s="50">
        <v>600</v>
      </c>
      <c r="I160" s="50"/>
      <c r="J160" s="50">
        <f t="shared" si="2"/>
        <v>26875</v>
      </c>
    </row>
    <row r="161" spans="1:10" ht="17.25" x14ac:dyDescent="0.25">
      <c r="A161" s="47">
        <v>45538</v>
      </c>
      <c r="B161" s="6" t="s">
        <v>55</v>
      </c>
      <c r="C161" s="56" t="s">
        <v>243</v>
      </c>
      <c r="D161" s="48"/>
      <c r="E161" s="48"/>
      <c r="F161" s="48"/>
      <c r="G161" s="49" t="s">
        <v>404</v>
      </c>
      <c r="H161" s="50">
        <v>300</v>
      </c>
      <c r="I161" s="50"/>
      <c r="J161" s="50">
        <f t="shared" si="2"/>
        <v>27175</v>
      </c>
    </row>
    <row r="162" spans="1:10" ht="17.25" x14ac:dyDescent="0.25">
      <c r="A162" s="47">
        <v>45428</v>
      </c>
      <c r="B162" s="6" t="s">
        <v>55</v>
      </c>
      <c r="C162" s="56" t="s">
        <v>243</v>
      </c>
      <c r="D162" s="48"/>
      <c r="E162" s="48"/>
      <c r="F162" s="48"/>
      <c r="G162" s="49" t="s">
        <v>45</v>
      </c>
      <c r="H162" s="50"/>
      <c r="I162" s="50">
        <v>30000</v>
      </c>
      <c r="J162" s="50">
        <f t="shared" si="2"/>
        <v>-2825</v>
      </c>
    </row>
    <row r="163" spans="1:10" ht="17.25" x14ac:dyDescent="0.25">
      <c r="A163" s="47">
        <v>45450</v>
      </c>
      <c r="B163" s="6" t="s">
        <v>55</v>
      </c>
      <c r="C163" s="56" t="s">
        <v>243</v>
      </c>
      <c r="D163" s="48"/>
      <c r="E163" s="48"/>
      <c r="F163" s="48"/>
      <c r="G163" s="49" t="s">
        <v>405</v>
      </c>
      <c r="H163" s="50">
        <v>600</v>
      </c>
      <c r="I163" s="50"/>
      <c r="J163" s="50">
        <f t="shared" si="2"/>
        <v>-2225</v>
      </c>
    </row>
    <row r="164" spans="1:10" ht="17.25" x14ac:dyDescent="0.25">
      <c r="A164" s="47">
        <v>45474</v>
      </c>
      <c r="B164" s="6" t="s">
        <v>55</v>
      </c>
      <c r="C164" s="56" t="s">
        <v>243</v>
      </c>
      <c r="D164" s="48"/>
      <c r="E164" s="48"/>
      <c r="F164" s="48"/>
      <c r="G164" s="49" t="s">
        <v>406</v>
      </c>
      <c r="H164" s="50">
        <v>1400</v>
      </c>
      <c r="I164" s="50"/>
      <c r="J164" s="50">
        <f t="shared" si="2"/>
        <v>-825</v>
      </c>
    </row>
    <row r="165" spans="1:10" ht="17.25" x14ac:dyDescent="0.25">
      <c r="A165" s="47">
        <v>45514</v>
      </c>
      <c r="B165" s="6" t="s">
        <v>55</v>
      </c>
      <c r="C165" s="56" t="s">
        <v>243</v>
      </c>
      <c r="D165" s="48"/>
      <c r="E165" s="48"/>
      <c r="F165" s="48"/>
      <c r="G165" s="49" t="s">
        <v>398</v>
      </c>
      <c r="H165" s="50">
        <v>600</v>
      </c>
      <c r="I165" s="50"/>
      <c r="J165" s="50">
        <f t="shared" si="2"/>
        <v>-225</v>
      </c>
    </row>
    <row r="166" spans="1:10" ht="17.25" x14ac:dyDescent="0.25">
      <c r="A166" s="47">
        <v>45549</v>
      </c>
      <c r="B166" s="6" t="s">
        <v>55</v>
      </c>
      <c r="C166" s="56" t="s">
        <v>243</v>
      </c>
      <c r="D166" s="48"/>
      <c r="E166" s="48"/>
      <c r="F166" s="48"/>
      <c r="G166" s="49" t="s">
        <v>407</v>
      </c>
      <c r="H166" s="50">
        <v>6300</v>
      </c>
      <c r="I166" s="50"/>
      <c r="J166" s="50">
        <f t="shared" si="2"/>
        <v>6075</v>
      </c>
    </row>
    <row r="167" spans="1:10" ht="17.25" x14ac:dyDescent="0.25">
      <c r="A167" s="47">
        <v>45549</v>
      </c>
      <c r="B167" s="6" t="s">
        <v>55</v>
      </c>
      <c r="C167" s="56" t="s">
        <v>243</v>
      </c>
      <c r="D167" s="48" t="s">
        <v>244</v>
      </c>
      <c r="E167" s="48" t="s">
        <v>22</v>
      </c>
      <c r="F167" s="48">
        <v>724059</v>
      </c>
      <c r="G167" s="49" t="s">
        <v>408</v>
      </c>
      <c r="H167" s="50">
        <v>7200</v>
      </c>
      <c r="I167" s="50"/>
      <c r="J167" s="50">
        <f t="shared" si="2"/>
        <v>13275</v>
      </c>
    </row>
    <row r="168" spans="1:10" ht="17.25" x14ac:dyDescent="0.25">
      <c r="A168" s="47">
        <v>45549</v>
      </c>
      <c r="B168" s="6" t="s">
        <v>55</v>
      </c>
      <c r="C168" s="56" t="s">
        <v>243</v>
      </c>
      <c r="D168" s="48" t="s">
        <v>440</v>
      </c>
      <c r="E168" s="48" t="s">
        <v>22</v>
      </c>
      <c r="F168" s="48">
        <v>724053</v>
      </c>
      <c r="G168" s="49" t="s">
        <v>409</v>
      </c>
      <c r="H168" s="50">
        <v>7200</v>
      </c>
      <c r="I168" s="50"/>
      <c r="J168" s="50">
        <f t="shared" si="2"/>
        <v>20475</v>
      </c>
    </row>
    <row r="169" spans="1:10" ht="17.25" x14ac:dyDescent="0.25">
      <c r="A169" s="47">
        <v>45549</v>
      </c>
      <c r="B169" s="6" t="s">
        <v>55</v>
      </c>
      <c r="C169" s="56" t="s">
        <v>243</v>
      </c>
      <c r="D169" s="48" t="s">
        <v>441</v>
      </c>
      <c r="E169" s="48" t="s">
        <v>22</v>
      </c>
      <c r="F169" s="48">
        <v>724054</v>
      </c>
      <c r="G169" s="49" t="s">
        <v>410</v>
      </c>
      <c r="H169" s="50">
        <v>7200</v>
      </c>
      <c r="I169" s="50"/>
      <c r="J169" s="50">
        <f t="shared" si="2"/>
        <v>27675</v>
      </c>
    </row>
    <row r="170" spans="1:10" ht="17.25" x14ac:dyDescent="0.25">
      <c r="A170" s="47">
        <v>45549</v>
      </c>
      <c r="B170" s="6" t="s">
        <v>55</v>
      </c>
      <c r="C170" s="56" t="s">
        <v>243</v>
      </c>
      <c r="D170" s="48" t="s">
        <v>442</v>
      </c>
      <c r="E170" s="48" t="s">
        <v>22</v>
      </c>
      <c r="F170" s="48">
        <v>724057</v>
      </c>
      <c r="G170" s="49" t="s">
        <v>411</v>
      </c>
      <c r="H170" s="50">
        <v>7200</v>
      </c>
      <c r="I170" s="50"/>
      <c r="J170" s="50">
        <f t="shared" si="2"/>
        <v>34875</v>
      </c>
    </row>
    <row r="171" spans="1:10" ht="17.25" x14ac:dyDescent="0.25">
      <c r="A171" s="47">
        <v>45549</v>
      </c>
      <c r="B171" s="6" t="s">
        <v>55</v>
      </c>
      <c r="C171" s="56" t="s">
        <v>243</v>
      </c>
      <c r="D171" s="48" t="s">
        <v>443</v>
      </c>
      <c r="E171" s="48"/>
      <c r="F171" s="48" t="s">
        <v>412</v>
      </c>
      <c r="G171" s="49" t="s">
        <v>413</v>
      </c>
      <c r="H171" s="50">
        <v>10000</v>
      </c>
      <c r="I171" s="50"/>
      <c r="J171" s="50">
        <f t="shared" si="2"/>
        <v>44875</v>
      </c>
    </row>
    <row r="172" spans="1:10" ht="17.25" x14ac:dyDescent="0.25">
      <c r="A172" s="47"/>
      <c r="B172" s="6" t="s">
        <v>55</v>
      </c>
      <c r="C172" s="56" t="s">
        <v>243</v>
      </c>
      <c r="D172" s="48"/>
      <c r="E172" s="48"/>
      <c r="F172" s="48"/>
      <c r="G172" s="49" t="s">
        <v>45</v>
      </c>
      <c r="H172" s="50"/>
      <c r="I172" s="50">
        <v>20000</v>
      </c>
      <c r="J172" s="50">
        <f t="shared" si="2"/>
        <v>24875</v>
      </c>
    </row>
    <row r="173" spans="1:10" ht="17.25" x14ac:dyDescent="0.25">
      <c r="A173" s="47">
        <v>45549</v>
      </c>
      <c r="B173" s="6" t="s">
        <v>55</v>
      </c>
      <c r="C173" s="56" t="s">
        <v>243</v>
      </c>
      <c r="D173" s="48" t="s">
        <v>444</v>
      </c>
      <c r="E173" s="48" t="s">
        <v>22</v>
      </c>
      <c r="F173" s="48"/>
      <c r="G173" s="49" t="s">
        <v>414</v>
      </c>
      <c r="H173" s="50">
        <v>7800</v>
      </c>
      <c r="I173" s="50"/>
      <c r="J173" s="50">
        <f t="shared" si="2"/>
        <v>32675</v>
      </c>
    </row>
    <row r="174" spans="1:10" ht="17.25" x14ac:dyDescent="0.25">
      <c r="A174" s="47">
        <v>45767</v>
      </c>
      <c r="B174" s="6" t="s">
        <v>55</v>
      </c>
      <c r="C174" s="56" t="s">
        <v>243</v>
      </c>
      <c r="D174" s="48"/>
      <c r="E174" s="48"/>
      <c r="F174" s="48"/>
      <c r="G174" s="49" t="s">
        <v>45</v>
      </c>
      <c r="H174" s="50"/>
      <c r="I174" s="50">
        <v>40000</v>
      </c>
      <c r="J174" s="50">
        <f t="shared" si="2"/>
        <v>-7325</v>
      </c>
    </row>
    <row r="175" spans="1:10" ht="17.25" x14ac:dyDescent="0.25">
      <c r="A175" s="47">
        <v>45782</v>
      </c>
      <c r="B175" s="6" t="s">
        <v>55</v>
      </c>
      <c r="C175" s="56" t="s">
        <v>243</v>
      </c>
      <c r="D175" s="48"/>
      <c r="E175" s="48"/>
      <c r="F175" s="48"/>
      <c r="G175" s="49" t="s">
        <v>45</v>
      </c>
      <c r="H175" s="50"/>
      <c r="I175" s="50">
        <v>50000</v>
      </c>
      <c r="J175" s="50">
        <f t="shared" si="2"/>
        <v>-57325</v>
      </c>
    </row>
    <row r="176" spans="1:10" ht="17.25" x14ac:dyDescent="0.25">
      <c r="A176" s="47">
        <v>45786</v>
      </c>
      <c r="B176" s="6" t="s">
        <v>55</v>
      </c>
      <c r="C176" s="56" t="s">
        <v>243</v>
      </c>
      <c r="D176" s="48" t="s">
        <v>445</v>
      </c>
      <c r="E176" s="48" t="s">
        <v>22</v>
      </c>
      <c r="F176" s="48">
        <v>715291</v>
      </c>
      <c r="G176" s="49" t="s">
        <v>415</v>
      </c>
      <c r="H176" s="50">
        <v>7200</v>
      </c>
      <c r="I176" s="50"/>
      <c r="J176" s="50">
        <f t="shared" si="2"/>
        <v>-50125</v>
      </c>
    </row>
    <row r="177" spans="1:10" ht="17.25" x14ac:dyDescent="0.25">
      <c r="A177" s="47">
        <v>45786</v>
      </c>
      <c r="B177" s="6" t="s">
        <v>55</v>
      </c>
      <c r="C177" s="56" t="s">
        <v>243</v>
      </c>
      <c r="D177" s="48" t="s">
        <v>446</v>
      </c>
      <c r="E177" s="48" t="s">
        <v>22</v>
      </c>
      <c r="F177" s="48">
        <v>715289</v>
      </c>
      <c r="G177" s="49" t="s">
        <v>416</v>
      </c>
      <c r="H177" s="50">
        <v>7200</v>
      </c>
      <c r="I177" s="50"/>
      <c r="J177" s="50">
        <f t="shared" si="2"/>
        <v>-42925</v>
      </c>
    </row>
    <row r="178" spans="1:10" ht="17.25" x14ac:dyDescent="0.25">
      <c r="A178" s="47">
        <v>45786</v>
      </c>
      <c r="B178" s="6" t="s">
        <v>55</v>
      </c>
      <c r="C178" s="56" t="s">
        <v>243</v>
      </c>
      <c r="D178" s="48" t="s">
        <v>447</v>
      </c>
      <c r="E178" s="48" t="s">
        <v>22</v>
      </c>
      <c r="F178" s="48">
        <v>715287</v>
      </c>
      <c r="G178" s="49" t="s">
        <v>417</v>
      </c>
      <c r="H178" s="50">
        <v>7200</v>
      </c>
      <c r="I178" s="50"/>
      <c r="J178" s="50">
        <f t="shared" si="2"/>
        <v>-35725</v>
      </c>
    </row>
    <row r="179" spans="1:10" ht="17.25" x14ac:dyDescent="0.25">
      <c r="A179" s="47">
        <v>45786</v>
      </c>
      <c r="B179" s="6" t="s">
        <v>55</v>
      </c>
      <c r="C179" s="56" t="s">
        <v>243</v>
      </c>
      <c r="D179" s="48" t="s">
        <v>448</v>
      </c>
      <c r="E179" s="48" t="s">
        <v>22</v>
      </c>
      <c r="F179" s="48">
        <v>715286</v>
      </c>
      <c r="G179" s="49" t="s">
        <v>418</v>
      </c>
      <c r="H179" s="50">
        <v>7200</v>
      </c>
      <c r="I179" s="50"/>
      <c r="J179" s="50">
        <f t="shared" si="2"/>
        <v>-28525</v>
      </c>
    </row>
    <row r="180" spans="1:10" ht="17.25" x14ac:dyDescent="0.25">
      <c r="A180" s="47">
        <v>45786</v>
      </c>
      <c r="B180" s="6" t="s">
        <v>55</v>
      </c>
      <c r="C180" s="56" t="s">
        <v>243</v>
      </c>
      <c r="D180" s="48" t="s">
        <v>449</v>
      </c>
      <c r="E180" s="48" t="s">
        <v>22</v>
      </c>
      <c r="F180" s="48">
        <v>712375</v>
      </c>
      <c r="G180" s="49" t="s">
        <v>419</v>
      </c>
      <c r="H180" s="50">
        <v>7200</v>
      </c>
      <c r="I180" s="50"/>
      <c r="J180" s="50">
        <f t="shared" si="2"/>
        <v>-21325</v>
      </c>
    </row>
    <row r="181" spans="1:10" ht="17.25" x14ac:dyDescent="0.25">
      <c r="A181" s="47">
        <v>45796</v>
      </c>
      <c r="B181" s="6" t="s">
        <v>55</v>
      </c>
      <c r="C181" s="56" t="s">
        <v>243</v>
      </c>
      <c r="D181" s="48" t="s">
        <v>450</v>
      </c>
      <c r="E181" s="48" t="s">
        <v>22</v>
      </c>
      <c r="F181" s="48">
        <v>776013</v>
      </c>
      <c r="G181" s="49" t="s">
        <v>420</v>
      </c>
      <c r="H181" s="50">
        <v>7200</v>
      </c>
      <c r="I181" s="50"/>
      <c r="J181" s="50">
        <f t="shared" si="2"/>
        <v>-14125</v>
      </c>
    </row>
    <row r="182" spans="1:10" ht="17.25" x14ac:dyDescent="0.25">
      <c r="A182" s="47">
        <v>45796</v>
      </c>
      <c r="B182" s="6" t="s">
        <v>55</v>
      </c>
      <c r="C182" s="56" t="s">
        <v>243</v>
      </c>
      <c r="D182" s="48" t="s">
        <v>451</v>
      </c>
      <c r="E182" s="48"/>
      <c r="F182" s="48">
        <v>785299</v>
      </c>
      <c r="G182" s="49" t="s">
        <v>421</v>
      </c>
      <c r="H182" s="50">
        <v>7200</v>
      </c>
      <c r="I182" s="50"/>
      <c r="J182" s="50">
        <f t="shared" si="2"/>
        <v>-6925</v>
      </c>
    </row>
    <row r="183" spans="1:10" ht="17.25" x14ac:dyDescent="0.25">
      <c r="A183" s="47">
        <v>45799</v>
      </c>
      <c r="B183" s="6" t="s">
        <v>55</v>
      </c>
      <c r="C183" s="56" t="s">
        <v>243</v>
      </c>
      <c r="D183" s="48" t="s">
        <v>452</v>
      </c>
      <c r="E183" s="48" t="s">
        <v>22</v>
      </c>
      <c r="F183" s="48">
        <v>724067</v>
      </c>
      <c r="G183" s="49" t="s">
        <v>422</v>
      </c>
      <c r="H183" s="50">
        <v>7800</v>
      </c>
      <c r="I183" s="50"/>
      <c r="J183" s="50">
        <f t="shared" si="2"/>
        <v>875</v>
      </c>
    </row>
    <row r="184" spans="1:10" ht="17.25" x14ac:dyDescent="0.25">
      <c r="A184" s="47">
        <v>45799</v>
      </c>
      <c r="B184" s="6" t="s">
        <v>55</v>
      </c>
      <c r="C184" s="56" t="s">
        <v>243</v>
      </c>
      <c r="D184" s="48" t="s">
        <v>453</v>
      </c>
      <c r="E184" s="48" t="s">
        <v>22</v>
      </c>
      <c r="F184" s="48">
        <v>724055</v>
      </c>
      <c r="G184" s="49" t="s">
        <v>423</v>
      </c>
      <c r="H184" s="50">
        <v>7800</v>
      </c>
      <c r="I184" s="50"/>
      <c r="J184" s="50">
        <f t="shared" si="2"/>
        <v>8675</v>
      </c>
    </row>
    <row r="185" spans="1:10" ht="17.25" x14ac:dyDescent="0.25">
      <c r="A185" s="47">
        <v>45799</v>
      </c>
      <c r="B185" s="6" t="s">
        <v>55</v>
      </c>
      <c r="C185" s="56" t="s">
        <v>243</v>
      </c>
      <c r="D185" s="48" t="s">
        <v>454</v>
      </c>
      <c r="E185" s="48" t="s">
        <v>22</v>
      </c>
      <c r="F185" s="48">
        <v>724064</v>
      </c>
      <c r="G185" s="49" t="s">
        <v>424</v>
      </c>
      <c r="H185" s="50">
        <v>7800</v>
      </c>
      <c r="I185" s="50"/>
      <c r="J185" s="50">
        <f t="shared" si="2"/>
        <v>16475</v>
      </c>
    </row>
    <row r="186" spans="1:10" ht="17.25" x14ac:dyDescent="0.25">
      <c r="A186" s="47">
        <v>45799</v>
      </c>
      <c r="B186" s="6" t="s">
        <v>55</v>
      </c>
      <c r="C186" s="56" t="s">
        <v>243</v>
      </c>
      <c r="D186" s="48" t="s">
        <v>455</v>
      </c>
      <c r="E186" s="48" t="s">
        <v>22</v>
      </c>
      <c r="F186" s="48">
        <v>724061</v>
      </c>
      <c r="G186" s="49" t="s">
        <v>425</v>
      </c>
      <c r="H186" s="50">
        <v>7800</v>
      </c>
      <c r="I186" s="50"/>
      <c r="J186" s="50">
        <f t="shared" si="2"/>
        <v>24275</v>
      </c>
    </row>
    <row r="187" spans="1:10" ht="17.25" x14ac:dyDescent="0.25">
      <c r="A187" s="47">
        <v>45799</v>
      </c>
      <c r="B187" s="6" t="s">
        <v>55</v>
      </c>
      <c r="C187" s="56" t="s">
        <v>243</v>
      </c>
      <c r="D187" s="48"/>
      <c r="E187" s="48"/>
      <c r="F187" s="48"/>
      <c r="G187" s="49" t="s">
        <v>45</v>
      </c>
      <c r="H187" s="50"/>
      <c r="I187" s="50">
        <v>20000</v>
      </c>
      <c r="J187" s="50">
        <f t="shared" si="2"/>
        <v>4275</v>
      </c>
    </row>
    <row r="188" spans="1:10" ht="17.25" x14ac:dyDescent="0.25">
      <c r="A188" s="47">
        <v>45807</v>
      </c>
      <c r="B188" s="6" t="s">
        <v>55</v>
      </c>
      <c r="C188" s="56" t="s">
        <v>243</v>
      </c>
      <c r="D188" s="48"/>
      <c r="E188" s="48"/>
      <c r="F188" s="48"/>
      <c r="G188" s="49" t="s">
        <v>45</v>
      </c>
      <c r="H188" s="50"/>
      <c r="I188" s="50">
        <v>20000</v>
      </c>
      <c r="J188" s="50">
        <f t="shared" si="2"/>
        <v>-15725</v>
      </c>
    </row>
    <row r="189" spans="1:10" ht="17.25" x14ac:dyDescent="0.25">
      <c r="A189" s="47">
        <v>45971</v>
      </c>
      <c r="B189" s="6" t="s">
        <v>55</v>
      </c>
      <c r="C189" s="56" t="s">
        <v>243</v>
      </c>
      <c r="D189" s="48" t="s">
        <v>456</v>
      </c>
      <c r="E189" s="48" t="s">
        <v>22</v>
      </c>
      <c r="F189" s="48">
        <v>635863</v>
      </c>
      <c r="G189" s="49" t="s">
        <v>426</v>
      </c>
      <c r="H189" s="50">
        <v>7800</v>
      </c>
      <c r="I189" s="50"/>
      <c r="J189" s="50">
        <f t="shared" si="2"/>
        <v>-7925</v>
      </c>
    </row>
    <row r="190" spans="1:10" ht="17.25" x14ac:dyDescent="0.25">
      <c r="A190" s="47">
        <v>45971</v>
      </c>
      <c r="B190" s="6" t="s">
        <v>55</v>
      </c>
      <c r="C190" s="56" t="s">
        <v>243</v>
      </c>
      <c r="D190" s="48" t="s">
        <v>457</v>
      </c>
      <c r="E190" s="48" t="s">
        <v>22</v>
      </c>
      <c r="F190" s="48">
        <v>653821</v>
      </c>
      <c r="G190" s="49" t="s">
        <v>427</v>
      </c>
      <c r="H190" s="50">
        <v>7800</v>
      </c>
      <c r="I190" s="50"/>
      <c r="J190" s="50">
        <f t="shared" si="2"/>
        <v>-125</v>
      </c>
    </row>
    <row r="191" spans="1:10" ht="17.25" x14ac:dyDescent="0.25">
      <c r="A191" s="47">
        <v>45988</v>
      </c>
      <c r="B191" s="6" t="s">
        <v>55</v>
      </c>
      <c r="C191" s="56" t="s">
        <v>243</v>
      </c>
      <c r="D191" s="48" t="s">
        <v>458</v>
      </c>
      <c r="E191" s="48" t="s">
        <v>22</v>
      </c>
      <c r="F191" s="48">
        <v>755185</v>
      </c>
      <c r="G191" s="49" t="s">
        <v>428</v>
      </c>
      <c r="H191" s="50">
        <v>7800</v>
      </c>
      <c r="I191" s="50"/>
      <c r="J191" s="50">
        <f t="shared" si="2"/>
        <v>7675</v>
      </c>
    </row>
    <row r="192" spans="1:10" ht="17.25" x14ac:dyDescent="0.25">
      <c r="A192" s="47">
        <v>45988</v>
      </c>
      <c r="B192" s="6" t="s">
        <v>55</v>
      </c>
      <c r="C192" s="56" t="s">
        <v>243</v>
      </c>
      <c r="D192" s="48" t="s">
        <v>459</v>
      </c>
      <c r="E192" s="48" t="s">
        <v>22</v>
      </c>
      <c r="F192" s="48">
        <v>755186</v>
      </c>
      <c r="G192" s="49" t="s">
        <v>429</v>
      </c>
      <c r="H192" s="50">
        <v>7800</v>
      </c>
      <c r="I192" s="50"/>
      <c r="J192" s="50">
        <f t="shared" si="2"/>
        <v>15475</v>
      </c>
    </row>
    <row r="193" spans="1:10" ht="17.25" x14ac:dyDescent="0.25">
      <c r="A193" s="47">
        <v>46009</v>
      </c>
      <c r="B193" s="6" t="s">
        <v>55</v>
      </c>
      <c r="C193" s="56" t="s">
        <v>243</v>
      </c>
      <c r="D193" s="48" t="s">
        <v>244</v>
      </c>
      <c r="E193" s="48" t="s">
        <v>22</v>
      </c>
      <c r="F193" s="48">
        <v>760705</v>
      </c>
      <c r="G193" s="49" t="s">
        <v>247</v>
      </c>
      <c r="H193" s="50">
        <v>7800</v>
      </c>
      <c r="I193" s="50"/>
      <c r="J193" s="50">
        <f t="shared" si="2"/>
        <v>23275</v>
      </c>
    </row>
    <row r="194" spans="1:10" ht="17.25" x14ac:dyDescent="0.25">
      <c r="A194" s="47">
        <v>46009</v>
      </c>
      <c r="B194" s="6" t="s">
        <v>55</v>
      </c>
      <c r="C194" s="56" t="s">
        <v>243</v>
      </c>
      <c r="D194" s="48" t="s">
        <v>245</v>
      </c>
      <c r="E194" s="48" t="s">
        <v>22</v>
      </c>
      <c r="F194" s="48">
        <v>770449</v>
      </c>
      <c r="G194" s="49" t="s">
        <v>248</v>
      </c>
      <c r="H194" s="50">
        <v>8200</v>
      </c>
      <c r="I194" s="50"/>
      <c r="J194" s="50">
        <f t="shared" si="2"/>
        <v>31475</v>
      </c>
    </row>
    <row r="195" spans="1:10" ht="17.25" x14ac:dyDescent="0.25">
      <c r="A195" s="47">
        <v>46009</v>
      </c>
      <c r="B195" s="6" t="s">
        <v>55</v>
      </c>
      <c r="C195" s="56" t="s">
        <v>243</v>
      </c>
      <c r="D195" s="48" t="s">
        <v>246</v>
      </c>
      <c r="E195" s="48" t="s">
        <v>22</v>
      </c>
      <c r="F195" s="48">
        <v>773948</v>
      </c>
      <c r="G195" s="49" t="s">
        <v>249</v>
      </c>
      <c r="H195" s="50">
        <v>7800</v>
      </c>
      <c r="I195" s="50"/>
      <c r="J195" s="50">
        <f t="shared" si="2"/>
        <v>39275</v>
      </c>
    </row>
    <row r="196" spans="1:10" ht="17.25" x14ac:dyDescent="0.25">
      <c r="A196" s="47">
        <v>46009</v>
      </c>
      <c r="B196" s="6" t="s">
        <v>55</v>
      </c>
      <c r="C196" s="56" t="s">
        <v>243</v>
      </c>
      <c r="D196" s="48" t="s">
        <v>246</v>
      </c>
      <c r="E196" s="48" t="s">
        <v>22</v>
      </c>
      <c r="F196" s="48">
        <v>773576</v>
      </c>
      <c r="G196" s="49" t="s">
        <v>250</v>
      </c>
      <c r="H196" s="50">
        <v>7800</v>
      </c>
      <c r="I196" s="50"/>
      <c r="J196" s="50">
        <f t="shared" si="2"/>
        <v>47075</v>
      </c>
    </row>
    <row r="197" spans="1:10" ht="17.25" x14ac:dyDescent="0.25">
      <c r="A197" s="47">
        <v>46009</v>
      </c>
      <c r="B197" s="6" t="s">
        <v>55</v>
      </c>
      <c r="C197" s="56" t="s">
        <v>243</v>
      </c>
      <c r="D197" s="48" t="s">
        <v>246</v>
      </c>
      <c r="E197" s="48" t="s">
        <v>22</v>
      </c>
      <c r="F197" s="48">
        <v>774794</v>
      </c>
      <c r="G197" s="49" t="s">
        <v>251</v>
      </c>
      <c r="H197" s="50">
        <v>7800</v>
      </c>
      <c r="I197" s="50"/>
      <c r="J197" s="50">
        <f t="shared" si="2"/>
        <v>54875</v>
      </c>
    </row>
    <row r="198" spans="1:10" ht="17.25" x14ac:dyDescent="0.25">
      <c r="A198" s="47">
        <v>46009</v>
      </c>
      <c r="B198" s="6" t="s">
        <v>55</v>
      </c>
      <c r="C198" s="56" t="s">
        <v>243</v>
      </c>
      <c r="D198" s="48" t="s">
        <v>246</v>
      </c>
      <c r="E198" s="48" t="s">
        <v>22</v>
      </c>
      <c r="F198" s="48">
        <v>772851</v>
      </c>
      <c r="G198" s="49" t="s">
        <v>252</v>
      </c>
      <c r="H198" s="50">
        <v>7800</v>
      </c>
      <c r="I198" s="50"/>
      <c r="J198" s="50">
        <f t="shared" si="2"/>
        <v>62675</v>
      </c>
    </row>
    <row r="199" spans="1:10" ht="17.25" x14ac:dyDescent="0.25">
      <c r="A199" s="47">
        <v>46009</v>
      </c>
      <c r="B199" s="6" t="s">
        <v>55</v>
      </c>
      <c r="C199" s="56" t="s">
        <v>243</v>
      </c>
      <c r="D199" s="48" t="s">
        <v>246</v>
      </c>
      <c r="E199" s="48" t="s">
        <v>22</v>
      </c>
      <c r="F199" s="48">
        <v>776012</v>
      </c>
      <c r="G199" s="49" t="s">
        <v>253</v>
      </c>
      <c r="H199" s="50">
        <v>7800</v>
      </c>
      <c r="I199" s="50"/>
      <c r="J199" s="50">
        <f t="shared" si="2"/>
        <v>70475</v>
      </c>
    </row>
    <row r="200" spans="1:10" ht="17.25" x14ac:dyDescent="0.25">
      <c r="A200" s="47">
        <v>46009</v>
      </c>
      <c r="B200" s="6" t="s">
        <v>55</v>
      </c>
      <c r="C200" s="56" t="s">
        <v>243</v>
      </c>
      <c r="D200" s="48" t="s">
        <v>246</v>
      </c>
      <c r="E200" s="48" t="s">
        <v>22</v>
      </c>
      <c r="F200" s="48">
        <v>766376</v>
      </c>
      <c r="G200" s="49" t="s">
        <v>254</v>
      </c>
      <c r="H200" s="50">
        <v>7800</v>
      </c>
      <c r="I200" s="50"/>
      <c r="J200" s="50">
        <f t="shared" ref="J200:J219" si="3">IF(AND(H200="", I200=""), "", J199 + H200 - I200)</f>
        <v>78275</v>
      </c>
    </row>
    <row r="201" spans="1:10" ht="17.25" x14ac:dyDescent="0.25">
      <c r="A201" s="47">
        <v>46009</v>
      </c>
      <c r="B201" s="6" t="s">
        <v>55</v>
      </c>
      <c r="C201" s="56" t="s">
        <v>243</v>
      </c>
      <c r="D201" s="48" t="s">
        <v>246</v>
      </c>
      <c r="E201" s="48" t="s">
        <v>22</v>
      </c>
      <c r="F201" s="48">
        <v>776014</v>
      </c>
      <c r="G201" s="49" t="s">
        <v>255</v>
      </c>
      <c r="H201" s="50">
        <v>7800</v>
      </c>
      <c r="I201" s="50"/>
      <c r="J201" s="50">
        <f t="shared" si="3"/>
        <v>86075</v>
      </c>
    </row>
    <row r="202" spans="1:10" ht="17.25" x14ac:dyDescent="0.25">
      <c r="A202" s="47">
        <v>46009</v>
      </c>
      <c r="B202" s="6" t="s">
        <v>55</v>
      </c>
      <c r="C202" s="56" t="s">
        <v>243</v>
      </c>
      <c r="D202" s="48" t="s">
        <v>246</v>
      </c>
      <c r="E202" s="48" t="s">
        <v>22</v>
      </c>
      <c r="F202" s="48">
        <v>795431</v>
      </c>
      <c r="G202" s="49" t="s">
        <v>256</v>
      </c>
      <c r="H202" s="50">
        <v>7800</v>
      </c>
      <c r="I202" s="50"/>
      <c r="J202" s="50">
        <f t="shared" si="3"/>
        <v>93875</v>
      </c>
    </row>
    <row r="203" spans="1:10" ht="17.25" x14ac:dyDescent="0.25">
      <c r="A203" s="47">
        <v>46009</v>
      </c>
      <c r="B203" s="6" t="s">
        <v>55</v>
      </c>
      <c r="C203" s="56" t="s">
        <v>243</v>
      </c>
      <c r="D203" s="48" t="s">
        <v>246</v>
      </c>
      <c r="E203" s="48" t="s">
        <v>22</v>
      </c>
      <c r="F203" s="48">
        <v>797689</v>
      </c>
      <c r="G203" s="49" t="s">
        <v>257</v>
      </c>
      <c r="H203" s="50">
        <v>7800</v>
      </c>
      <c r="I203" s="50"/>
      <c r="J203" s="50">
        <f t="shared" si="3"/>
        <v>101675</v>
      </c>
    </row>
    <row r="204" spans="1:10" ht="17.25" x14ac:dyDescent="0.25">
      <c r="A204" s="47">
        <v>46009</v>
      </c>
      <c r="B204" s="6" t="s">
        <v>55</v>
      </c>
      <c r="C204" s="56" t="s">
        <v>243</v>
      </c>
      <c r="D204" s="48"/>
      <c r="E204" s="48"/>
      <c r="F204" s="48"/>
      <c r="G204" s="49" t="s">
        <v>45</v>
      </c>
      <c r="H204" s="50"/>
      <c r="I204" s="50">
        <v>50000</v>
      </c>
      <c r="J204" s="50">
        <f t="shared" si="3"/>
        <v>51675</v>
      </c>
    </row>
    <row r="205" spans="1:10" ht="17.25" x14ac:dyDescent="0.25">
      <c r="A205" s="47">
        <v>46087</v>
      </c>
      <c r="B205" s="6" t="s">
        <v>55</v>
      </c>
      <c r="C205" s="56" t="s">
        <v>243</v>
      </c>
      <c r="D205" s="48" t="s">
        <v>460</v>
      </c>
      <c r="E205" s="48" t="s">
        <v>22</v>
      </c>
      <c r="F205" s="48">
        <v>848370</v>
      </c>
      <c r="G205" s="49" t="s">
        <v>258</v>
      </c>
      <c r="H205" s="50">
        <v>7800</v>
      </c>
      <c r="I205" s="50"/>
      <c r="J205" s="50">
        <f t="shared" si="3"/>
        <v>59475</v>
      </c>
    </row>
    <row r="206" spans="1:10" ht="17.25" x14ac:dyDescent="0.25">
      <c r="A206" s="47">
        <v>46087</v>
      </c>
      <c r="B206" s="6" t="s">
        <v>55</v>
      </c>
      <c r="C206" s="56" t="s">
        <v>243</v>
      </c>
      <c r="D206" s="48" t="s">
        <v>461</v>
      </c>
      <c r="E206" s="48" t="s">
        <v>22</v>
      </c>
      <c r="F206" s="48">
        <v>848373</v>
      </c>
      <c r="G206" s="49" t="s">
        <v>259</v>
      </c>
      <c r="H206" s="50">
        <v>7800</v>
      </c>
      <c r="I206" s="50"/>
      <c r="J206" s="50">
        <f t="shared" si="3"/>
        <v>67275</v>
      </c>
    </row>
    <row r="207" spans="1:10" ht="17.25" x14ac:dyDescent="0.25">
      <c r="A207" s="47">
        <v>46087</v>
      </c>
      <c r="B207" s="6" t="s">
        <v>55</v>
      </c>
      <c r="C207" s="56" t="s">
        <v>243</v>
      </c>
      <c r="D207" s="48" t="s">
        <v>462</v>
      </c>
      <c r="E207" s="48" t="s">
        <v>22</v>
      </c>
      <c r="F207" s="48">
        <v>818958</v>
      </c>
      <c r="G207" s="49" t="s">
        <v>260</v>
      </c>
      <c r="H207" s="50">
        <v>7800</v>
      </c>
      <c r="I207" s="50"/>
      <c r="J207" s="50">
        <f t="shared" si="3"/>
        <v>75075</v>
      </c>
    </row>
    <row r="208" spans="1:10" ht="17.25" x14ac:dyDescent="0.25">
      <c r="A208" s="47">
        <v>46094</v>
      </c>
      <c r="B208" s="6" t="s">
        <v>55</v>
      </c>
      <c r="C208" s="56" t="s">
        <v>243</v>
      </c>
      <c r="D208" s="48"/>
      <c r="E208" s="48"/>
      <c r="F208" s="48"/>
      <c r="G208" s="49" t="s">
        <v>45</v>
      </c>
      <c r="H208" s="50"/>
      <c r="I208" s="50">
        <v>50000</v>
      </c>
      <c r="J208" s="50">
        <f t="shared" si="3"/>
        <v>25075</v>
      </c>
    </row>
    <row r="209" spans="1:10" ht="17.25" x14ac:dyDescent="0.25">
      <c r="A209" s="47"/>
      <c r="B209" s="6" t="s">
        <v>55</v>
      </c>
      <c r="C209" s="56" t="s">
        <v>243</v>
      </c>
      <c r="D209" s="48"/>
      <c r="E209" s="48"/>
      <c r="F209" s="48"/>
      <c r="G209" s="49"/>
      <c r="H209" s="50"/>
      <c r="I209" s="50"/>
      <c r="J209" s="50" t="str">
        <f t="shared" si="3"/>
        <v/>
      </c>
    </row>
    <row r="210" spans="1:10" ht="17.25" x14ac:dyDescent="0.25">
      <c r="A210" s="47">
        <v>46066</v>
      </c>
      <c r="B210" s="6" t="s">
        <v>55</v>
      </c>
      <c r="C210" s="56" t="s">
        <v>243</v>
      </c>
      <c r="D210" s="48" t="s">
        <v>463</v>
      </c>
      <c r="E210" s="48" t="s">
        <v>22</v>
      </c>
      <c r="F210" s="48">
        <v>600166</v>
      </c>
      <c r="G210" s="49" t="s">
        <v>430</v>
      </c>
      <c r="H210" s="50"/>
      <c r="I210" s="50"/>
      <c r="J210" s="50" t="str">
        <f t="shared" si="3"/>
        <v/>
      </c>
    </row>
    <row r="211" spans="1:10" ht="17.25" x14ac:dyDescent="0.25">
      <c r="A211" s="47">
        <v>46066</v>
      </c>
      <c r="B211" s="6" t="s">
        <v>55</v>
      </c>
      <c r="C211" s="56" t="s">
        <v>243</v>
      </c>
      <c r="D211" s="48" t="s">
        <v>464</v>
      </c>
      <c r="E211" s="48" t="s">
        <v>22</v>
      </c>
      <c r="F211" s="48">
        <v>714634</v>
      </c>
      <c r="G211" s="49" t="s">
        <v>431</v>
      </c>
      <c r="H211" s="50"/>
      <c r="I211" s="50"/>
      <c r="J211" s="50" t="str">
        <f t="shared" si="3"/>
        <v/>
      </c>
    </row>
    <row r="212" spans="1:10" ht="17.25" x14ac:dyDescent="0.25">
      <c r="A212" s="47">
        <v>46066</v>
      </c>
      <c r="B212" s="6" t="s">
        <v>55</v>
      </c>
      <c r="C212" s="56" t="s">
        <v>243</v>
      </c>
      <c r="D212" s="48" t="s">
        <v>465</v>
      </c>
      <c r="E212" s="48" t="s">
        <v>22</v>
      </c>
      <c r="F212" s="48">
        <v>692568</v>
      </c>
      <c r="G212" s="49" t="s">
        <v>432</v>
      </c>
      <c r="H212" s="50"/>
      <c r="I212" s="50"/>
      <c r="J212" s="50" t="str">
        <f t="shared" si="3"/>
        <v/>
      </c>
    </row>
    <row r="213" spans="1:10" ht="17.25" x14ac:dyDescent="0.25">
      <c r="A213" s="47">
        <v>46066</v>
      </c>
      <c r="B213" s="6" t="s">
        <v>55</v>
      </c>
      <c r="C213" s="56" t="s">
        <v>243</v>
      </c>
      <c r="D213" s="48" t="s">
        <v>466</v>
      </c>
      <c r="E213" s="48" t="s">
        <v>22</v>
      </c>
      <c r="F213" s="48">
        <v>692567</v>
      </c>
      <c r="G213" s="49" t="s">
        <v>433</v>
      </c>
      <c r="H213" s="50"/>
      <c r="I213" s="50"/>
      <c r="J213" s="50" t="str">
        <f t="shared" si="3"/>
        <v/>
      </c>
    </row>
    <row r="214" spans="1:10" ht="17.25" x14ac:dyDescent="0.25">
      <c r="A214" s="47">
        <v>46066</v>
      </c>
      <c r="B214" s="6" t="s">
        <v>55</v>
      </c>
      <c r="C214" s="56" t="s">
        <v>243</v>
      </c>
      <c r="D214" s="48" t="s">
        <v>246</v>
      </c>
      <c r="E214" s="48" t="s">
        <v>22</v>
      </c>
      <c r="F214" s="48">
        <v>692569</v>
      </c>
      <c r="G214" s="55" t="s">
        <v>434</v>
      </c>
      <c r="H214" s="50"/>
      <c r="I214" s="50"/>
      <c r="J214" s="50" t="str">
        <f t="shared" si="3"/>
        <v/>
      </c>
    </row>
    <row r="215" spans="1:10" ht="17.25" x14ac:dyDescent="0.25">
      <c r="A215" s="47">
        <v>46066</v>
      </c>
      <c r="B215" s="6" t="s">
        <v>55</v>
      </c>
      <c r="C215" s="56" t="s">
        <v>243</v>
      </c>
      <c r="D215" s="48" t="s">
        <v>246</v>
      </c>
      <c r="E215" s="48" t="s">
        <v>22</v>
      </c>
      <c r="F215" s="48">
        <v>638868</v>
      </c>
      <c r="G215" s="49" t="s">
        <v>435</v>
      </c>
      <c r="H215" s="50"/>
      <c r="I215" s="50"/>
      <c r="J215" s="50" t="str">
        <f t="shared" si="3"/>
        <v/>
      </c>
    </row>
    <row r="216" spans="1:10" ht="17.25" x14ac:dyDescent="0.25">
      <c r="A216" s="47">
        <v>46066</v>
      </c>
      <c r="B216" s="6" t="s">
        <v>55</v>
      </c>
      <c r="C216" s="56" t="s">
        <v>243</v>
      </c>
      <c r="D216" s="48" t="s">
        <v>467</v>
      </c>
      <c r="E216" s="48" t="s">
        <v>22</v>
      </c>
      <c r="F216" s="48">
        <v>639043</v>
      </c>
      <c r="G216" s="49" t="s">
        <v>436</v>
      </c>
      <c r="H216" s="50"/>
      <c r="I216" s="50"/>
      <c r="J216" s="50" t="str">
        <f t="shared" si="3"/>
        <v/>
      </c>
    </row>
    <row r="217" spans="1:10" ht="17.25" x14ac:dyDescent="0.25">
      <c r="A217" s="47">
        <v>46066</v>
      </c>
      <c r="B217" s="6" t="s">
        <v>55</v>
      </c>
      <c r="C217" s="56" t="s">
        <v>243</v>
      </c>
      <c r="D217" s="48" t="s">
        <v>457</v>
      </c>
      <c r="E217" s="48" t="s">
        <v>22</v>
      </c>
      <c r="F217" s="48">
        <v>639042</v>
      </c>
      <c r="G217" s="49" t="s">
        <v>437</v>
      </c>
      <c r="H217" s="50"/>
      <c r="I217" s="50"/>
      <c r="J217" s="50" t="str">
        <f t="shared" si="3"/>
        <v/>
      </c>
    </row>
    <row r="218" spans="1:10" ht="17.25" x14ac:dyDescent="0.25">
      <c r="A218" s="47">
        <v>46066</v>
      </c>
      <c r="B218" s="6" t="s">
        <v>55</v>
      </c>
      <c r="C218" s="56" t="s">
        <v>243</v>
      </c>
      <c r="D218" s="48" t="s">
        <v>468</v>
      </c>
      <c r="E218" s="48" t="s">
        <v>22</v>
      </c>
      <c r="F218" s="48">
        <v>777215</v>
      </c>
      <c r="G218" s="49" t="s">
        <v>438</v>
      </c>
      <c r="H218" s="50"/>
      <c r="I218" s="50"/>
      <c r="J218" s="50" t="str">
        <f t="shared" si="3"/>
        <v/>
      </c>
    </row>
    <row r="219" spans="1:10" ht="17.25" x14ac:dyDescent="0.25">
      <c r="A219" s="47">
        <v>46066</v>
      </c>
      <c r="B219" s="6" t="s">
        <v>55</v>
      </c>
      <c r="C219" s="56" t="s">
        <v>243</v>
      </c>
      <c r="D219" s="48" t="s">
        <v>469</v>
      </c>
      <c r="E219" s="48" t="s">
        <v>22</v>
      </c>
      <c r="F219" s="48">
        <v>818654</v>
      </c>
      <c r="G219" s="49" t="s">
        <v>439</v>
      </c>
      <c r="H219" s="50"/>
      <c r="I219" s="50"/>
      <c r="J219" s="50" t="str">
        <f t="shared" si="3"/>
        <v/>
      </c>
    </row>
  </sheetData>
  <mergeCells count="2">
    <mergeCell ref="A1:J1"/>
    <mergeCell ref="A2:J2"/>
  </mergeCells>
  <conditionalFormatting sqref="A11:A219 D11:J219">
    <cfRule type="expression" dxfId="1" priority="4" stopIfTrue="1">
      <formula>NOT(ISBLANK($I11))</formula>
    </cfRule>
  </conditionalFormatting>
  <conditionalFormatting sqref="F71:F219">
    <cfRule type="expression" dxfId="0" priority="8">
      <formula>COUNTIF(D:D, F71) &gt; 1</formula>
    </cfRule>
  </conditionalFormatting>
  <dataValidations count="1">
    <dataValidation type="custom" allowBlank="1" showDropDown="1" showInputMessage="1" showErrorMessage="1" prompt="Enter a valid date" sqref="A11:A219" xr:uid="{CA99E2F1-23DC-4EE2-96FE-453C2A6CDE70}">
      <formula1>OR(NOT(ISERROR(DATEVALUE(A11))), AND(ISNUMBER(A11), LEFT(CELL("format", A11))="D"))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8"/>
  <sheetViews>
    <sheetView workbookViewId="0">
      <selection activeCell="B4" sqref="B4"/>
    </sheetView>
  </sheetViews>
  <sheetFormatPr defaultRowHeight="15" x14ac:dyDescent="0.25"/>
  <cols>
    <col min="1" max="1" width="12" customWidth="1"/>
    <col min="2" max="2" width="28" customWidth="1"/>
    <col min="3" max="3" width="14" customWidth="1"/>
    <col min="4" max="4" width="22" customWidth="1"/>
  </cols>
  <sheetData>
    <row r="1" spans="1:4" ht="26.1" customHeight="1" x14ac:dyDescent="0.25">
      <c r="A1" s="38" t="s">
        <v>58</v>
      </c>
      <c r="B1" s="33"/>
      <c r="C1" s="33"/>
      <c r="D1" s="33"/>
    </row>
    <row r="2" spans="1:4" ht="21.95" customHeight="1" x14ac:dyDescent="0.25">
      <c r="A2" s="24" t="s">
        <v>10</v>
      </c>
      <c r="B2" s="24" t="s">
        <v>11</v>
      </c>
      <c r="C2" s="24" t="s">
        <v>59</v>
      </c>
      <c r="D2" s="24" t="s">
        <v>60</v>
      </c>
    </row>
    <row r="3" spans="1:4" ht="18" customHeight="1" x14ac:dyDescent="0.25">
      <c r="A3" s="25" t="s">
        <v>3</v>
      </c>
      <c r="B3" s="25" t="s">
        <v>183</v>
      </c>
      <c r="C3" s="25"/>
      <c r="D3" s="25" t="s">
        <v>61</v>
      </c>
    </row>
    <row r="4" spans="1:4" ht="18" customHeight="1" x14ac:dyDescent="0.25">
      <c r="A4" s="26" t="s">
        <v>54</v>
      </c>
      <c r="B4" s="26" t="s">
        <v>124</v>
      </c>
      <c r="C4" s="26"/>
      <c r="D4" s="26"/>
    </row>
    <row r="5" spans="1:4" ht="18" customHeight="1" x14ac:dyDescent="0.25">
      <c r="A5" s="25" t="s">
        <v>55</v>
      </c>
      <c r="B5" s="25" t="s">
        <v>184</v>
      </c>
      <c r="C5" s="25"/>
      <c r="D5" s="25" t="s">
        <v>62</v>
      </c>
    </row>
    <row r="6" spans="1:4" ht="18" customHeight="1" x14ac:dyDescent="0.25">
      <c r="A6" s="26" t="s">
        <v>56</v>
      </c>
      <c r="B6" s="26" t="s">
        <v>185</v>
      </c>
      <c r="C6" s="26"/>
      <c r="D6" s="26"/>
    </row>
    <row r="7" spans="1:4" ht="18" customHeight="1" x14ac:dyDescent="0.25">
      <c r="A7" s="25" t="s">
        <v>57</v>
      </c>
      <c r="B7" s="25" t="s">
        <v>186</v>
      </c>
      <c r="C7" s="25"/>
      <c r="D7" s="25" t="s">
        <v>63</v>
      </c>
    </row>
    <row r="8" spans="1:4" ht="18" customHeight="1" x14ac:dyDescent="0.25">
      <c r="A8" s="26" t="s">
        <v>125</v>
      </c>
      <c r="B8" s="26" t="s">
        <v>187</v>
      </c>
      <c r="C8" s="26"/>
      <c r="D8" s="26"/>
    </row>
    <row r="9" spans="1:4" ht="18" customHeight="1" x14ac:dyDescent="0.25">
      <c r="A9" s="25" t="s">
        <v>126</v>
      </c>
      <c r="B9" s="25" t="s">
        <v>188</v>
      </c>
      <c r="C9" s="25"/>
      <c r="D9" s="25"/>
    </row>
    <row r="10" spans="1:4" ht="18" customHeight="1" x14ac:dyDescent="0.25">
      <c r="A10" s="26" t="s">
        <v>127</v>
      </c>
      <c r="B10" s="26" t="s">
        <v>189</v>
      </c>
      <c r="C10" s="26"/>
      <c r="D10" s="26"/>
    </row>
    <row r="11" spans="1:4" ht="18" customHeight="1" x14ac:dyDescent="0.25">
      <c r="A11" s="25" t="s">
        <v>128</v>
      </c>
      <c r="B11" s="25" t="s">
        <v>187</v>
      </c>
      <c r="C11" s="25"/>
      <c r="D11" s="25"/>
    </row>
    <row r="12" spans="1:4" ht="18" customHeight="1" x14ac:dyDescent="0.25">
      <c r="A12" s="26" t="s">
        <v>64</v>
      </c>
      <c r="B12" s="26" t="s">
        <v>190</v>
      </c>
      <c r="C12" s="26"/>
      <c r="D12" s="26"/>
    </row>
    <row r="13" spans="1:4" x14ac:dyDescent="0.25">
      <c r="A13" t="s">
        <v>65</v>
      </c>
      <c r="B13" t="s">
        <v>191</v>
      </c>
    </row>
    <row r="14" spans="1:4" x14ac:dyDescent="0.25">
      <c r="A14" t="s">
        <v>66</v>
      </c>
      <c r="B14" t="s">
        <v>192</v>
      </c>
    </row>
    <row r="15" spans="1:4" x14ac:dyDescent="0.25">
      <c r="A15" t="s">
        <v>129</v>
      </c>
      <c r="B15" t="s">
        <v>193</v>
      </c>
    </row>
    <row r="16" spans="1:4" x14ac:dyDescent="0.25">
      <c r="A16" t="s">
        <v>130</v>
      </c>
      <c r="B16" t="s">
        <v>194</v>
      </c>
    </row>
    <row r="17" spans="1:2" x14ac:dyDescent="0.25">
      <c r="A17" t="s">
        <v>131</v>
      </c>
      <c r="B17" t="s">
        <v>195</v>
      </c>
    </row>
    <row r="18" spans="1:2" x14ac:dyDescent="0.25">
      <c r="A18" t="s">
        <v>132</v>
      </c>
      <c r="B18" t="s">
        <v>196</v>
      </c>
    </row>
    <row r="19" spans="1:2" x14ac:dyDescent="0.25">
      <c r="A19" t="s">
        <v>133</v>
      </c>
      <c r="B19" t="s">
        <v>197</v>
      </c>
    </row>
    <row r="20" spans="1:2" x14ac:dyDescent="0.25">
      <c r="A20" t="s">
        <v>134</v>
      </c>
      <c r="B20" t="s">
        <v>198</v>
      </c>
    </row>
    <row r="21" spans="1:2" x14ac:dyDescent="0.25">
      <c r="A21" t="s">
        <v>135</v>
      </c>
      <c r="B21" t="s">
        <v>199</v>
      </c>
    </row>
    <row r="22" spans="1:2" x14ac:dyDescent="0.25">
      <c r="A22" t="s">
        <v>136</v>
      </c>
      <c r="B22" t="s">
        <v>200</v>
      </c>
    </row>
    <row r="23" spans="1:2" x14ac:dyDescent="0.25">
      <c r="A23" t="s">
        <v>137</v>
      </c>
      <c r="B23" t="s">
        <v>201</v>
      </c>
    </row>
    <row r="24" spans="1:2" x14ac:dyDescent="0.25">
      <c r="A24" t="s">
        <v>138</v>
      </c>
      <c r="B24" t="s">
        <v>202</v>
      </c>
    </row>
    <row r="25" spans="1:2" x14ac:dyDescent="0.25">
      <c r="A25" t="s">
        <v>139</v>
      </c>
      <c r="B25" t="s">
        <v>203</v>
      </c>
    </row>
    <row r="26" spans="1:2" x14ac:dyDescent="0.25">
      <c r="A26" t="s">
        <v>140</v>
      </c>
      <c r="B26" t="s">
        <v>204</v>
      </c>
    </row>
    <row r="27" spans="1:2" x14ac:dyDescent="0.25">
      <c r="A27" t="s">
        <v>141</v>
      </c>
      <c r="B27" t="s">
        <v>205</v>
      </c>
    </row>
    <row r="28" spans="1:2" x14ac:dyDescent="0.25">
      <c r="A28" t="s">
        <v>142</v>
      </c>
      <c r="B28" t="s">
        <v>206</v>
      </c>
    </row>
    <row r="29" spans="1:2" x14ac:dyDescent="0.25">
      <c r="A29" t="s">
        <v>143</v>
      </c>
      <c r="B29" t="s">
        <v>207</v>
      </c>
    </row>
    <row r="30" spans="1:2" x14ac:dyDescent="0.25">
      <c r="A30" t="s">
        <v>144</v>
      </c>
      <c r="B30" t="s">
        <v>208</v>
      </c>
    </row>
    <row r="31" spans="1:2" x14ac:dyDescent="0.25">
      <c r="A31" t="s">
        <v>145</v>
      </c>
      <c r="B31" t="s">
        <v>209</v>
      </c>
    </row>
    <row r="32" spans="1:2" x14ac:dyDescent="0.25">
      <c r="A32" t="s">
        <v>146</v>
      </c>
      <c r="B32" t="s">
        <v>210</v>
      </c>
    </row>
    <row r="33" spans="1:2" x14ac:dyDescent="0.25">
      <c r="A33" t="s">
        <v>147</v>
      </c>
      <c r="B33" t="s">
        <v>210</v>
      </c>
    </row>
    <row r="34" spans="1:2" x14ac:dyDescent="0.25">
      <c r="A34" t="s">
        <v>148</v>
      </c>
      <c r="B34" t="s">
        <v>211</v>
      </c>
    </row>
    <row r="35" spans="1:2" x14ac:dyDescent="0.25">
      <c r="A35" t="s">
        <v>149</v>
      </c>
      <c r="B35" t="s">
        <v>212</v>
      </c>
    </row>
    <row r="36" spans="1:2" x14ac:dyDescent="0.25">
      <c r="A36" t="s">
        <v>150</v>
      </c>
      <c r="B36" t="s">
        <v>213</v>
      </c>
    </row>
    <row r="37" spans="1:2" x14ac:dyDescent="0.25">
      <c r="A37" t="s">
        <v>151</v>
      </c>
      <c r="B37" t="s">
        <v>214</v>
      </c>
    </row>
    <row r="38" spans="1:2" x14ac:dyDescent="0.25">
      <c r="A38" t="s">
        <v>152</v>
      </c>
      <c r="B38" t="s">
        <v>215</v>
      </c>
    </row>
    <row r="39" spans="1:2" x14ac:dyDescent="0.25">
      <c r="A39" t="s">
        <v>153</v>
      </c>
      <c r="B39" t="s">
        <v>215</v>
      </c>
    </row>
    <row r="40" spans="1:2" x14ac:dyDescent="0.25">
      <c r="A40" t="s">
        <v>154</v>
      </c>
      <c r="B40" t="s">
        <v>216</v>
      </c>
    </row>
    <row r="41" spans="1:2" x14ac:dyDescent="0.25">
      <c r="A41" t="s">
        <v>155</v>
      </c>
      <c r="B41" t="s">
        <v>217</v>
      </c>
    </row>
    <row r="42" spans="1:2" x14ac:dyDescent="0.25">
      <c r="A42" t="s">
        <v>156</v>
      </c>
      <c r="B42" t="s">
        <v>218</v>
      </c>
    </row>
    <row r="43" spans="1:2" x14ac:dyDescent="0.25">
      <c r="A43" t="s">
        <v>157</v>
      </c>
      <c r="B43" t="s">
        <v>219</v>
      </c>
    </row>
    <row r="44" spans="1:2" x14ac:dyDescent="0.25">
      <c r="A44" t="s">
        <v>158</v>
      </c>
      <c r="B44" t="s">
        <v>220</v>
      </c>
    </row>
    <row r="45" spans="1:2" x14ac:dyDescent="0.25">
      <c r="A45" t="s">
        <v>159</v>
      </c>
      <c r="B45" t="s">
        <v>221</v>
      </c>
    </row>
    <row r="46" spans="1:2" x14ac:dyDescent="0.25">
      <c r="A46" t="s">
        <v>160</v>
      </c>
      <c r="B46" t="s">
        <v>222</v>
      </c>
    </row>
    <row r="47" spans="1:2" x14ac:dyDescent="0.25">
      <c r="A47" t="s">
        <v>161</v>
      </c>
      <c r="B47" t="s">
        <v>223</v>
      </c>
    </row>
    <row r="48" spans="1:2" x14ac:dyDescent="0.25">
      <c r="A48" t="s">
        <v>162</v>
      </c>
      <c r="B48" t="s">
        <v>224</v>
      </c>
    </row>
    <row r="49" spans="1:2" x14ac:dyDescent="0.25">
      <c r="A49" t="s">
        <v>163</v>
      </c>
      <c r="B49" t="s">
        <v>225</v>
      </c>
    </row>
    <row r="50" spans="1:2" x14ac:dyDescent="0.25">
      <c r="A50" t="s">
        <v>164</v>
      </c>
      <c r="B50" t="s">
        <v>226</v>
      </c>
    </row>
    <row r="51" spans="1:2" x14ac:dyDescent="0.25">
      <c r="A51" t="s">
        <v>165</v>
      </c>
      <c r="B51" t="s">
        <v>227</v>
      </c>
    </row>
    <row r="52" spans="1:2" x14ac:dyDescent="0.25">
      <c r="A52" t="s">
        <v>166</v>
      </c>
      <c r="B52" t="s">
        <v>228</v>
      </c>
    </row>
    <row r="53" spans="1:2" x14ac:dyDescent="0.25">
      <c r="A53" t="s">
        <v>167</v>
      </c>
      <c r="B53" t="s">
        <v>229</v>
      </c>
    </row>
    <row r="54" spans="1:2" x14ac:dyDescent="0.25">
      <c r="A54" t="s">
        <v>168</v>
      </c>
      <c r="B54" t="s">
        <v>230</v>
      </c>
    </row>
    <row r="55" spans="1:2" x14ac:dyDescent="0.25">
      <c r="A55" t="s">
        <v>169</v>
      </c>
      <c r="B55" t="s">
        <v>231</v>
      </c>
    </row>
    <row r="56" spans="1:2" x14ac:dyDescent="0.25">
      <c r="A56" t="s">
        <v>170</v>
      </c>
      <c r="B56" t="s">
        <v>232</v>
      </c>
    </row>
    <row r="57" spans="1:2" x14ac:dyDescent="0.25">
      <c r="A57" t="s">
        <v>171</v>
      </c>
      <c r="B57" t="s">
        <v>233</v>
      </c>
    </row>
    <row r="58" spans="1:2" x14ac:dyDescent="0.25">
      <c r="A58" t="s">
        <v>172</v>
      </c>
      <c r="B58" t="s">
        <v>234</v>
      </c>
    </row>
    <row r="59" spans="1:2" x14ac:dyDescent="0.25">
      <c r="A59" t="s">
        <v>173</v>
      </c>
      <c r="B59" t="s">
        <v>235</v>
      </c>
    </row>
    <row r="60" spans="1:2" x14ac:dyDescent="0.25">
      <c r="A60" t="s">
        <v>174</v>
      </c>
      <c r="B60" t="s">
        <v>236</v>
      </c>
    </row>
    <row r="61" spans="1:2" x14ac:dyDescent="0.25">
      <c r="A61" t="s">
        <v>175</v>
      </c>
      <c r="B61" t="s">
        <v>237</v>
      </c>
    </row>
    <row r="62" spans="1:2" x14ac:dyDescent="0.25">
      <c r="A62" t="s">
        <v>176</v>
      </c>
      <c r="B62" t="s">
        <v>238</v>
      </c>
    </row>
    <row r="63" spans="1:2" x14ac:dyDescent="0.25">
      <c r="A63" t="s">
        <v>177</v>
      </c>
      <c r="B63" t="s">
        <v>239</v>
      </c>
    </row>
    <row r="64" spans="1:2" x14ac:dyDescent="0.25">
      <c r="A64" t="s">
        <v>178</v>
      </c>
      <c r="B64" t="s">
        <v>240</v>
      </c>
    </row>
    <row r="65" spans="1:2" x14ac:dyDescent="0.25">
      <c r="A65" t="s">
        <v>179</v>
      </c>
      <c r="B65" t="s">
        <v>241</v>
      </c>
    </row>
    <row r="66" spans="1:2" x14ac:dyDescent="0.25">
      <c r="A66" t="s">
        <v>180</v>
      </c>
      <c r="B66" t="s">
        <v>241</v>
      </c>
    </row>
    <row r="67" spans="1:2" x14ac:dyDescent="0.25">
      <c r="A67" t="s">
        <v>181</v>
      </c>
      <c r="B67" t="s">
        <v>241</v>
      </c>
    </row>
    <row r="68" spans="1:2" x14ac:dyDescent="0.25">
      <c r="A68" t="s">
        <v>182</v>
      </c>
      <c r="B68" t="s">
        <v>241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workbookViewId="0">
      <selection activeCell="C19" sqref="C19"/>
    </sheetView>
  </sheetViews>
  <sheetFormatPr defaultRowHeight="15" x14ac:dyDescent="0.25"/>
  <cols>
    <col min="1" max="1" width="18" customWidth="1"/>
    <col min="2" max="2" width="26" customWidth="1"/>
    <col min="3" max="3" width="46" customWidth="1"/>
  </cols>
  <sheetData>
    <row r="1" spans="1:3" ht="26.1" customHeight="1" x14ac:dyDescent="0.25">
      <c r="A1" s="39" t="s">
        <v>67</v>
      </c>
      <c r="B1" s="33"/>
      <c r="C1" s="33"/>
    </row>
    <row r="2" spans="1:3" ht="20.100000000000001" customHeight="1" x14ac:dyDescent="0.25">
      <c r="A2" s="27" t="s">
        <v>68</v>
      </c>
      <c r="B2" s="27" t="s">
        <v>69</v>
      </c>
      <c r="C2" s="27" t="s">
        <v>70</v>
      </c>
    </row>
    <row r="3" spans="1:3" ht="20.100000000000001" customHeight="1" x14ac:dyDescent="0.25">
      <c r="A3" s="12" t="s">
        <v>9</v>
      </c>
      <c r="B3" s="12" t="s">
        <v>71</v>
      </c>
      <c r="C3" s="12" t="s">
        <v>72</v>
      </c>
    </row>
    <row r="4" spans="1:3" ht="20.100000000000001" customHeight="1" x14ac:dyDescent="0.25">
      <c r="A4" s="7" t="s">
        <v>10</v>
      </c>
      <c r="B4" s="7" t="s">
        <v>3</v>
      </c>
      <c r="C4" s="7" t="s">
        <v>73</v>
      </c>
    </row>
    <row r="5" spans="1:3" ht="20.100000000000001" customHeight="1" x14ac:dyDescent="0.25">
      <c r="A5" s="28" t="s">
        <v>11</v>
      </c>
      <c r="B5" s="12" t="s">
        <v>20</v>
      </c>
      <c r="C5" s="12" t="s">
        <v>74</v>
      </c>
    </row>
    <row r="6" spans="1:3" ht="20.100000000000001" customHeight="1" x14ac:dyDescent="0.25">
      <c r="A6" s="7" t="s">
        <v>12</v>
      </c>
      <c r="B6" s="7" t="s">
        <v>21</v>
      </c>
      <c r="C6" s="7" t="s">
        <v>75</v>
      </c>
    </row>
    <row r="7" spans="1:3" ht="20.100000000000001" customHeight="1" x14ac:dyDescent="0.25">
      <c r="A7" s="12" t="s">
        <v>13</v>
      </c>
      <c r="B7" s="12" t="s">
        <v>76</v>
      </c>
      <c r="C7" s="12" t="s">
        <v>77</v>
      </c>
    </row>
    <row r="8" spans="1:3" ht="20.100000000000001" customHeight="1" x14ac:dyDescent="0.25">
      <c r="A8" s="7" t="s">
        <v>14</v>
      </c>
      <c r="B8" s="7" t="s">
        <v>23</v>
      </c>
      <c r="C8" s="7" t="s">
        <v>78</v>
      </c>
    </row>
    <row r="9" spans="1:3" ht="20.100000000000001" customHeight="1" x14ac:dyDescent="0.25">
      <c r="A9" s="12" t="s">
        <v>15</v>
      </c>
      <c r="B9" s="12" t="s">
        <v>79</v>
      </c>
      <c r="C9" s="12" t="s">
        <v>80</v>
      </c>
    </row>
    <row r="10" spans="1:3" ht="20.100000000000001" customHeight="1" x14ac:dyDescent="0.25">
      <c r="A10" s="7" t="s">
        <v>16</v>
      </c>
      <c r="B10" s="7" t="s">
        <v>81</v>
      </c>
      <c r="C10" s="7" t="s">
        <v>82</v>
      </c>
    </row>
    <row r="11" spans="1:3" ht="20.100000000000001" customHeight="1" x14ac:dyDescent="0.25">
      <c r="A11" s="12" t="s">
        <v>17</v>
      </c>
      <c r="B11" s="12" t="s">
        <v>81</v>
      </c>
      <c r="C11" s="12" t="s">
        <v>83</v>
      </c>
    </row>
    <row r="12" spans="1:3" ht="20.100000000000001" customHeight="1" x14ac:dyDescent="0.25">
      <c r="A12" s="7" t="s">
        <v>18</v>
      </c>
      <c r="B12" s="7" t="s">
        <v>84</v>
      </c>
      <c r="C12" s="7" t="s">
        <v>85</v>
      </c>
    </row>
    <row r="13" spans="1:3" ht="20.100000000000001" customHeight="1" x14ac:dyDescent="0.25">
      <c r="A13" s="12"/>
      <c r="B13" s="12"/>
      <c r="C13" s="12"/>
    </row>
    <row r="14" spans="1:3" ht="20.100000000000001" customHeight="1" x14ac:dyDescent="0.25">
      <c r="A14" s="28" t="s">
        <v>86</v>
      </c>
      <c r="B14" s="7" t="s">
        <v>87</v>
      </c>
      <c r="C14" s="7" t="s">
        <v>88</v>
      </c>
    </row>
    <row r="15" spans="1:3" ht="20.100000000000001" customHeight="1" x14ac:dyDescent="0.25">
      <c r="A15" s="28" t="s">
        <v>86</v>
      </c>
      <c r="B15" s="12" t="s">
        <v>89</v>
      </c>
      <c r="C15" s="12" t="s">
        <v>90</v>
      </c>
    </row>
    <row r="16" spans="1:3" ht="20.100000000000001" customHeight="1" x14ac:dyDescent="0.25">
      <c r="A16" s="28" t="s">
        <v>91</v>
      </c>
      <c r="B16" s="7" t="s">
        <v>68</v>
      </c>
      <c r="C16" s="7" t="s">
        <v>92</v>
      </c>
    </row>
    <row r="17" spans="1:3" ht="20.100000000000001" customHeight="1" x14ac:dyDescent="0.25">
      <c r="A17" s="28" t="s">
        <v>91</v>
      </c>
      <c r="B17" s="12" t="s">
        <v>93</v>
      </c>
      <c r="C17" s="12" t="s">
        <v>94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A-001 — Ali Brothers</vt:lpstr>
      <vt:lpstr>ALL CLIENTS — Bulk Import</vt:lpstr>
      <vt:lpstr>CLIENT LIST (Reference)</vt:lpstr>
      <vt:lpstr>Field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M. NaDeeM</cp:lastModifiedBy>
  <dcterms:created xsi:type="dcterms:W3CDTF">2026-04-06T09:44:29Z</dcterms:created>
  <dcterms:modified xsi:type="dcterms:W3CDTF">2026-04-06T12:49:33Z</dcterms:modified>
</cp:coreProperties>
</file>